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1" activeTab="5"/>
  </bookViews>
  <sheets>
    <sheet name="=VLOOKUP()" sheetId="1" r:id="rId1"/>
    <sheet name="INDEX" sheetId="2" r:id="rId2"/>
    <sheet name="MATCH" sheetId="3" r:id="rId3"/>
    <sheet name="DATA SET" sheetId="4" r:id="rId4"/>
    <sheet name="Home Work" sheetId="9" r:id="rId5"/>
    <sheet name="small and large functions" sheetId="5" r:id="rId6"/>
    <sheet name="Sheet2" sheetId="6" r:id="rId7"/>
  </sheets>
  <definedNames>
    <definedName name="_xlnm._FilterDatabase" localSheetId="2" hidden="1">MATCH!$I$5:$I$16</definedName>
    <definedName name="EmpData">'DATA SET'!$A$1:$E$50</definedName>
    <definedName name="City">'DATA SET'!$A$2:$A$51</definedName>
    <definedName name="Dept">'DATA SET'!$B$2:$B$51</definedName>
    <definedName name="Employee_ID">'DATA SET'!$C$2:$C$51</definedName>
    <definedName name="Salary">'DATA SET'!$D$2:$D$51</definedName>
    <definedName name="Age">'DATA SET'!$E$2:$E$51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<sst xmlns="http://schemas.openxmlformats.org/spreadsheetml/2006/main" count="344" uniqueCount="181">
  <si>
    <t>Name</t>
  </si>
  <si>
    <t>Scode</t>
  </si>
  <si>
    <t>Subject</t>
  </si>
  <si>
    <t>Minimum</t>
  </si>
  <si>
    <t>Maximum</t>
  </si>
  <si>
    <t>Score</t>
  </si>
  <si>
    <t>Grade  - 1</t>
  </si>
  <si>
    <t>Grade - 2</t>
  </si>
  <si>
    <t>Code</t>
  </si>
  <si>
    <t>PASS</t>
  </si>
  <si>
    <t>FULL</t>
  </si>
  <si>
    <t>Raju</t>
  </si>
  <si>
    <t>M</t>
  </si>
  <si>
    <t>Maths</t>
  </si>
  <si>
    <t>prasad</t>
  </si>
  <si>
    <t>H</t>
  </si>
  <si>
    <t>History</t>
  </si>
  <si>
    <t>hari</t>
  </si>
  <si>
    <t>E</t>
  </si>
  <si>
    <t>Economics</t>
  </si>
  <si>
    <t>harish</t>
  </si>
  <si>
    <t>prasanth</t>
  </si>
  <si>
    <t>gopi</t>
  </si>
  <si>
    <t>Interval</t>
  </si>
  <si>
    <t>Grades</t>
  </si>
  <si>
    <t>ramu</t>
  </si>
  <si>
    <t>0-49</t>
  </si>
  <si>
    <t>Fail</t>
  </si>
  <si>
    <t>rajesh</t>
  </si>
  <si>
    <t>50-59</t>
  </si>
  <si>
    <t>ramana</t>
  </si>
  <si>
    <t>60-69</t>
  </si>
  <si>
    <t>D</t>
  </si>
  <si>
    <t>ramudu</t>
  </si>
  <si>
    <t>70-79</t>
  </si>
  <si>
    <t>C</t>
  </si>
  <si>
    <t>sitha</t>
  </si>
  <si>
    <t>80-89</t>
  </si>
  <si>
    <t>B</t>
  </si>
  <si>
    <t>geetha</t>
  </si>
  <si>
    <t>90-100</t>
  </si>
  <si>
    <t>A</t>
  </si>
  <si>
    <t>MAIN FROMULAS</t>
  </si>
  <si>
    <t>=RANDBETWEEN()</t>
  </si>
  <si>
    <t>select range FUN KEY+ F4 IT CONVERS INTO THE ABSOLUTE RAFERENCE</t>
  </si>
  <si>
    <t>search value should be the in the first col remember</t>
  </si>
  <si>
    <t>City</t>
  </si>
  <si>
    <t>Dept</t>
  </si>
  <si>
    <t>Employee ID</t>
  </si>
  <si>
    <t>Salary</t>
  </si>
  <si>
    <t>Age</t>
  </si>
  <si>
    <t>HYD</t>
  </si>
  <si>
    <t>Sales</t>
  </si>
  <si>
    <t>E001</t>
  </si>
  <si>
    <t>EmpID</t>
  </si>
  <si>
    <t>E008</t>
  </si>
  <si>
    <t>AMR</t>
  </si>
  <si>
    <t>IT</t>
  </si>
  <si>
    <t>E002</t>
  </si>
  <si>
    <t>CHE</t>
  </si>
  <si>
    <t>Admin</t>
  </si>
  <si>
    <t>E003</t>
  </si>
  <si>
    <t>city</t>
  </si>
  <si>
    <t>MUM</t>
  </si>
  <si>
    <t>HR</t>
  </si>
  <si>
    <t>E004</t>
  </si>
  <si>
    <t>DEL</t>
  </si>
  <si>
    <t>Legal</t>
  </si>
  <si>
    <t>E005</t>
  </si>
  <si>
    <t>E006</t>
  </si>
  <si>
    <t>E007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</si>
  <si>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</si>
  <si>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</si>
  <si>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</si>
  <si>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</si>
  <si>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</si>
  <si>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</si>
  <si>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</si>
  <si>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</si>
  <si>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</si>
  <si>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</si>
  <si>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</si>
  <si>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</si>
  <si>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</si>
  <si>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</si>
  <si>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</si>
  <si>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</si>
  <si>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</si>
  <si>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</si>
  <si>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</si>
  <si>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</si>
  <si>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</si>
  <si>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</si>
  <si>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</si>
  <si>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</si>
  <si>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</si>
  <si>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</si>
  <si>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</si>
  <si>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</si>
  <si>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</si>
  <si>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</si>
  <si>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</si>
  <si>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</si>
  <si>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</si>
  <si>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</si>
  <si>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</si>
  <si>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</si>
  <si>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</si>
  <si>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</si>
  <si>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</si>
  <si>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</si>
  <si>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</si>
  <si>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</si>
  <si>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here EmpID is the Data Validation (J2)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</si>
  <si>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</si>
  <si>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</si>
  <si>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</si>
  <si>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</si>
  <si>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</si>
  <si>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</si>
  <si>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</si>
  <si>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</si>
  <si>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</si>
  <si>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</si>
  <si>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</si>
  <si>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</si>
  <si>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</si>
  <si>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</si>
  <si>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</si>
  <si>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</si>
  <si>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</si>
  <si>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</si>
  <si>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</si>
  <si>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</si>
  <si>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</si>
  <si>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</si>
  <si>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</si>
  <si>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</si>
  <si>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</si>
  <si>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</si>
  <si>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</si>
  <si>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</si>
  <si>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</si>
  <si>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</si>
  <si>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</si>
  <si>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</si>
  <si>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</si>
  <si>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</si>
  <si>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</si>
  <si>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</si>
  <si>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</si>
  <si>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</si>
  <si>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</si>
  <si>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</si>
  <si>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</si>
  <si>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</si>
  <si>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</si>
  <si>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</si>
  <si>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</si>
  <si>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</si>
  <si>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</si>
  <si>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</si>
  <si>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</si>
  <si>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</si>
  <si>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Month</t>
  </si>
  <si>
    <t>sales</t>
  </si>
  <si>
    <t>Top 3</t>
  </si>
  <si>
    <t>not top 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</si>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</sst>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12" applyNumberFormat="0" applyAlignment="0" applyProtection="0">
      <alignment vertical="center"/>
    </xf>
    <xf numFmtId="0" fontId="12" fillId="13" borderId="13" applyNumberFormat="0" applyAlignment="0" applyProtection="0">
      <alignment vertical="center"/>
    </xf>
    <xf numFmtId="0" fontId="13" fillId="13" borderId="12" applyNumberFormat="0" applyAlignment="0" applyProtection="0">
      <alignment vertical="center"/>
    </xf>
    <xf numFmtId="0" fontId="14" fillId="14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5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>
      <alignment vertical="center"/>
    </xf>
    <xf numFmtId="0" fontId="1" fillId="8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1" fillId="9" borderId="1" xfId="0" applyFont="1" applyFill="1" applyBorder="1">
      <alignment vertical="center"/>
    </xf>
    <xf numFmtId="0" fontId="1" fillId="7" borderId="2" xfId="0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1" fillId="7" borderId="4" xfId="0" applyFont="1" applyFill="1" applyBorder="1">
      <alignment vertical="center"/>
    </xf>
    <xf numFmtId="0" fontId="1" fillId="7" borderId="5" xfId="0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1" fillId="7" borderId="7" xfId="0" applyFont="1" applyFill="1" applyBorder="1">
      <alignment vertical="center"/>
    </xf>
    <xf numFmtId="0" fontId="0" fillId="0" borderId="8" xfId="0" applyBorder="1" applyAlignment="1">
      <alignment horizontal="center" vertical="center"/>
    </xf>
    <xf numFmtId="0" fontId="1" fillId="6" borderId="0" xfId="0" applyFont="1" applyFill="1">
      <alignment vertical="center"/>
    </xf>
    <xf numFmtId="0" fontId="0" fillId="0" borderId="0" xfId="0" applyAlignment="1">
      <alignment vertical="center"/>
    </xf>
    <xf numFmtId="0" fontId="1" fillId="8" borderId="0" xfId="0" applyFont="1" applyFill="1">
      <alignment vertical="center"/>
    </xf>
    <xf numFmtId="0" fontId="1" fillId="10" borderId="0" xfId="0" applyFont="1" applyFill="1">
      <alignment vertical="center"/>
    </xf>
    <xf numFmtId="0" fontId="0" fillId="0" borderId="0" xfId="0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-  3 </a:t>
            </a:r>
            <a:endParaRPr lang="en-IN" altLang="en-US"/>
          </a:p>
        </c:rich>
      </c:tx>
      <c:layout>
        <c:manualLayout>
          <c:xMode val="edge"/>
          <c:yMode val="edge"/>
          <c:x val="0.38578947368421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'small and large functions'!$E$1</c:f>
              <c:strCache>
                <c:ptCount val="1"/>
                <c:pt idx="0">
                  <c:v>Top 3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'small and large functions'!$D$2:$D$13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'small and large functions'!$E$2:$E$13</c:f>
              <c:numCache>
                <c:formatCode>General</c:formatCode>
                <c:ptCount val="12"/>
                <c:pt idx="0">
                  <c:v>#N/A</c:v>
                </c:pt>
                <c:pt idx="1">
                  <c:v>9595000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9999999</c:v>
                </c:pt>
                <c:pt idx="6">
                  <c:v>#N/A</c:v>
                </c:pt>
                <c:pt idx="7">
                  <c:v>#N/A</c:v>
                </c:pt>
                <c:pt idx="8">
                  <c:v>9814400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ser>
          <c:idx val="1"/>
          <c:order val="1"/>
          <c:tx>
            <c:strRef>
              <c:f>'small and large functions'!$F$1</c:f>
              <c:strCache>
                <c:ptCount val="1"/>
                <c:pt idx="0">
                  <c:v>not top 3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'small and large functions'!$D$2:$D$13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'small and large functions'!$F$2:$F$13</c:f>
              <c:numCache>
                <c:formatCode>General</c:formatCode>
                <c:ptCount val="12"/>
                <c:pt idx="0">
                  <c:v>8507300</c:v>
                </c:pt>
                <c:pt idx="1">
                  <c:v>#N/A</c:v>
                </c:pt>
                <c:pt idx="2">
                  <c:v>7317900</c:v>
                </c:pt>
                <c:pt idx="3">
                  <c:v>7833800</c:v>
                </c:pt>
                <c:pt idx="4">
                  <c:v>6309200</c:v>
                </c:pt>
                <c:pt idx="5">
                  <c:v>#N/A</c:v>
                </c:pt>
                <c:pt idx="6">
                  <c:v>9246000</c:v>
                </c:pt>
                <c:pt idx="7">
                  <c:v>9152500</c:v>
                </c:pt>
                <c:pt idx="8">
                  <c:v>#N/A</c:v>
                </c:pt>
                <c:pt idx="9">
                  <c:v>7783600</c:v>
                </c:pt>
                <c:pt idx="10">
                  <c:v>5300200</c:v>
                </c:pt>
                <c:pt idx="11">
                  <c:v>5951600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90065695"/>
        <c:axId val="623164986"/>
      </c:barChart>
      <c:catAx>
        <c:axId val="590065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164986"/>
        <c:crosses val="autoZero"/>
        <c:auto val="1"/>
        <c:lblAlgn val="ctr"/>
        <c:lblOffset val="100"/>
        <c:noMultiLvlLbl val="0"/>
      </c:catAx>
      <c:valAx>
        <c:axId val="623164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065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07fe4a-54af-4784-a0a5-8e531dd78e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86472637835622"/>
          <c:y val="0.234513274336283"/>
          <c:w val="0.815003074400492"/>
          <c:h val="0.497463126843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300610</c:v>
                </c:pt>
                <c:pt idx="1">
                  <c:v>346670</c:v>
                </c:pt>
                <c:pt idx="2">
                  <c:v>352130</c:v>
                </c:pt>
                <c:pt idx="3">
                  <c:v>898290</c:v>
                </c:pt>
                <c:pt idx="4">
                  <c:v>485940</c:v>
                </c:pt>
                <c:pt idx="5">
                  <c:v>733480</c:v>
                </c:pt>
                <c:pt idx="6">
                  <c:v>905520</c:v>
                </c:pt>
                <c:pt idx="7">
                  <c:v>873360</c:v>
                </c:pt>
                <c:pt idx="8">
                  <c:v>533700</c:v>
                </c:pt>
                <c:pt idx="9">
                  <c:v>696160</c:v>
                </c:pt>
                <c:pt idx="10">
                  <c:v>218600</c:v>
                </c:pt>
                <c:pt idx="11">
                  <c:v>842450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6535858"/>
        <c:axId val="653179065"/>
      </c:barChart>
      <c:barChart>
        <c:barDir val="col"/>
        <c:grouping val="clustere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bg1">
                <a:lumMod val="65000"/>
                <a:alpha val="39000"/>
              </a:schemeClr>
            </a:solidFill>
            <a:ln w="12700" cmpd="sng">
              <a:solidFill>
                <a:schemeClr val="accent3">
                  <a:alpha val="97000"/>
                </a:schemeClr>
              </a:solidFill>
              <a:prstDash val="solid"/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Sheet2!$A$2:$A$13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Sheet2!$C$2:$C$13</c:f>
              <c:numCache>
                <c:formatCode>General</c:formatCode>
                <c:ptCount val="12"/>
                <c:pt idx="0">
                  <c:v>415990</c:v>
                </c:pt>
                <c:pt idx="1">
                  <c:v>984940</c:v>
                </c:pt>
                <c:pt idx="2">
                  <c:v>335370</c:v>
                </c:pt>
                <c:pt idx="3">
                  <c:v>805930</c:v>
                </c:pt>
                <c:pt idx="4">
                  <c:v>655290</c:v>
                </c:pt>
                <c:pt idx="5">
                  <c:v>420340</c:v>
                </c:pt>
                <c:pt idx="6">
                  <c:v>953230</c:v>
                </c:pt>
                <c:pt idx="7">
                  <c:v>240220</c:v>
                </c:pt>
                <c:pt idx="8">
                  <c:v>547970</c:v>
                </c:pt>
                <c:pt idx="9">
                  <c:v>437940</c:v>
                </c:pt>
                <c:pt idx="10">
                  <c:v>464880</c:v>
                </c:pt>
                <c:pt idx="11">
                  <c:v>603040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8"/>
        <c:axId val="247912602"/>
        <c:axId val="103919734"/>
      </c:barChart>
      <c:catAx>
        <c:axId val="3465358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179065"/>
        <c:crosses val="autoZero"/>
        <c:auto val="1"/>
        <c:lblAlgn val="ctr"/>
        <c:lblOffset val="100"/>
        <c:noMultiLvlLbl val="0"/>
      </c:catAx>
      <c:valAx>
        <c:axId val="6531790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535858"/>
        <c:crosses val="autoZero"/>
        <c:crossBetween val="between"/>
      </c:valAx>
      <c:catAx>
        <c:axId val="24791260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919734"/>
        <c:crosses val="autoZero"/>
        <c:auto val="1"/>
        <c:lblAlgn val="ctr"/>
        <c:lblOffset val="100"/>
        <c:noMultiLvlLbl val="0"/>
      </c:catAx>
      <c:valAx>
        <c:axId val="10391973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91260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02e093-8eef-4902-8dd1-b62b1009a0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603250</xdr:colOff>
      <xdr:row>4</xdr:row>
      <xdr:rowOff>82550</xdr:rowOff>
    </xdr:from>
    <xdr:to>
      <xdr:col>16</xdr:col>
      <xdr:colOff>552450</xdr:colOff>
      <xdr:row>19</xdr:row>
      <xdr:rowOff>63500</xdr:rowOff>
    </xdr:to>
    <xdr:graphicFrame>
      <xdr:nvGraphicFramePr>
        <xdr:cNvPr id="3" name="Chart 2"/>
        <xdr:cNvGraphicFramePr/>
      </xdr:nvGraphicFramePr>
      <xdr:xfrm>
        <a:off x="5537200" y="819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355600</xdr:colOff>
      <xdr:row>1</xdr:row>
      <xdr:rowOff>83185</xdr:rowOff>
    </xdr:from>
    <xdr:to>
      <xdr:col>14</xdr:col>
      <xdr:colOff>455930</xdr:colOff>
      <xdr:row>18</xdr:row>
      <xdr:rowOff>171450</xdr:rowOff>
    </xdr:to>
    <xdr:graphicFrame>
      <xdr:nvGraphicFramePr>
        <xdr:cNvPr id="2" name="Chart 1"/>
        <xdr:cNvGraphicFramePr/>
      </xdr:nvGraphicFramePr>
      <xdr:xfrm>
        <a:off x="2794000" y="267335"/>
        <a:ext cx="6196330" cy="3218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K8" sqref="K8"/>
    </sheetView>
  </sheetViews>
  <sheetFormatPr defaultColWidth="8.72727272727273" defaultRowHeight="14.5"/>
  <cols>
    <col min="3" max="3" width="10.4545454545455" customWidth="1"/>
    <col min="12" max="12" width="8" customWidth="1"/>
    <col min="13" max="13" width="10.4545454545455" customWidth="1"/>
    <col min="14" max="14" width="7.45454545454545" customWidth="1"/>
    <col min="15" max="15" width="5.36363636363636" customWidth="1"/>
  </cols>
  <sheetData>
    <row r="1" spans="1: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L1" s="25" t="s">
        <v>8</v>
      </c>
      <c r="M1" s="25" t="s">
        <v>2</v>
      </c>
      <c r="N1" s="25" t="s">
        <v>9</v>
      </c>
      <c r="O1" s="25" t="s">
        <v>10</v>
      </c>
    </row>
    <row r="2" spans="1:15">
      <c r="A2" t="s">
        <v>11</v>
      </c>
      <c r="B2" t="s">
        <v>12</v>
      </c>
      <c r="C2" t="str">
        <f>VLOOKUP(B2,$L$1:$M$4,2,0)</f>
        <v>Maths</v>
      </c>
      <c r="D2">
        <f>VLOOKUP(C2,$M$1:$N$4,2,0)</f>
        <v>40</v>
      </c>
      <c r="E2">
        <f>VLOOKUP(C2,$M$1:$O$4,3,0)</f>
        <v>75</v>
      </c>
      <c r="F2">
        <v>32</v>
      </c>
      <c r="G2" t="e">
        <f>VLOOKUP(F2,$M$7:$N$13,2,0)</f>
        <v>#N/A</v>
      </c>
      <c r="H2" t="str">
        <f>VLOOKUP(F2,$M$7:$N$13,2,1)</f>
        <v>Fail</v>
      </c>
      <c r="L2" t="s">
        <v>12</v>
      </c>
      <c r="M2" t="s">
        <v>13</v>
      </c>
      <c r="N2">
        <v>40</v>
      </c>
      <c r="O2">
        <v>75</v>
      </c>
    </row>
    <row r="3" spans="1:15">
      <c r="A3" t="s">
        <v>14</v>
      </c>
      <c r="B3" t="s">
        <v>15</v>
      </c>
      <c r="C3" t="str">
        <f t="shared" ref="C3:C13" si="0">VLOOKUP(B3,$L$1:$M$4,2,0)</f>
        <v>History</v>
      </c>
      <c r="D3">
        <f t="shared" ref="D3:D13" si="1">VLOOKUP(C3,$M$1:$N$4,2,0)</f>
        <v>70</v>
      </c>
      <c r="E3">
        <f t="shared" ref="E3:E13" si="2">VLOOKUP(C3,$M$1:$O$4,3,0)</f>
        <v>100</v>
      </c>
      <c r="F3">
        <v>90</v>
      </c>
      <c r="G3" t="str">
        <f t="shared" ref="G3:G13" si="3">VLOOKUP(F3,$M$7:$N$13,2,0)</f>
        <v>A</v>
      </c>
      <c r="H3" t="str">
        <f t="shared" ref="H3:H13" si="4">VLOOKUP(F3,$M$7:$N$13,2,1)</f>
        <v>A</v>
      </c>
      <c r="L3" t="s">
        <v>15</v>
      </c>
      <c r="M3" t="s">
        <v>16</v>
      </c>
      <c r="N3">
        <v>70</v>
      </c>
      <c r="O3">
        <v>100</v>
      </c>
    </row>
    <row r="4" spans="1:15">
      <c r="A4" t="s">
        <v>17</v>
      </c>
      <c r="B4" t="s">
        <v>18</v>
      </c>
      <c r="C4" t="str">
        <f t="shared" si="0"/>
        <v>Economics</v>
      </c>
      <c r="D4">
        <f t="shared" si="1"/>
        <v>55</v>
      </c>
      <c r="E4">
        <f t="shared" si="2"/>
        <v>60</v>
      </c>
      <c r="F4">
        <v>68</v>
      </c>
      <c r="G4" t="e">
        <f t="shared" si="3"/>
        <v>#N/A</v>
      </c>
      <c r="H4" t="str">
        <f t="shared" si="4"/>
        <v>D</v>
      </c>
      <c r="L4" t="s">
        <v>18</v>
      </c>
      <c r="M4" t="s">
        <v>19</v>
      </c>
      <c r="N4">
        <v>55</v>
      </c>
      <c r="O4">
        <v>60</v>
      </c>
    </row>
    <row r="5" spans="1:8">
      <c r="A5" t="s">
        <v>20</v>
      </c>
      <c r="B5" t="s">
        <v>12</v>
      </c>
      <c r="C5" t="str">
        <f t="shared" si="0"/>
        <v>Maths</v>
      </c>
      <c r="D5">
        <f t="shared" si="1"/>
        <v>40</v>
      </c>
      <c r="E5">
        <f t="shared" si="2"/>
        <v>75</v>
      </c>
      <c r="F5">
        <v>21</v>
      </c>
      <c r="G5" t="e">
        <f t="shared" si="3"/>
        <v>#N/A</v>
      </c>
      <c r="H5" t="str">
        <f t="shared" si="4"/>
        <v>Fail</v>
      </c>
    </row>
    <row r="6" spans="1:8">
      <c r="A6" t="s">
        <v>21</v>
      </c>
      <c r="B6" t="s">
        <v>18</v>
      </c>
      <c r="C6" t="str">
        <f t="shared" si="0"/>
        <v>Economics</v>
      </c>
      <c r="D6">
        <f t="shared" si="1"/>
        <v>55</v>
      </c>
      <c r="E6">
        <f t="shared" si="2"/>
        <v>60</v>
      </c>
      <c r="F6">
        <v>91</v>
      </c>
      <c r="G6" t="e">
        <f t="shared" si="3"/>
        <v>#N/A</v>
      </c>
      <c r="H6" t="str">
        <f t="shared" si="4"/>
        <v>A</v>
      </c>
    </row>
    <row r="7" spans="1:14">
      <c r="A7" t="s">
        <v>22</v>
      </c>
      <c r="B7" t="s">
        <v>18</v>
      </c>
      <c r="C7" t="str">
        <f t="shared" si="0"/>
        <v>Economics</v>
      </c>
      <c r="D7">
        <f t="shared" si="1"/>
        <v>55</v>
      </c>
      <c r="E7">
        <f t="shared" si="2"/>
        <v>60</v>
      </c>
      <c r="F7">
        <v>61</v>
      </c>
      <c r="G7" t="e">
        <f t="shared" si="3"/>
        <v>#N/A</v>
      </c>
      <c r="H7" t="str">
        <f t="shared" si="4"/>
        <v>D</v>
      </c>
      <c r="L7" s="26" t="s">
        <v>23</v>
      </c>
      <c r="M7" s="26" t="s">
        <v>5</v>
      </c>
      <c r="N7" s="26" t="s">
        <v>24</v>
      </c>
    </row>
    <row r="8" spans="1:14">
      <c r="A8" t="s">
        <v>25</v>
      </c>
      <c r="B8" t="s">
        <v>15</v>
      </c>
      <c r="C8" t="str">
        <f t="shared" si="0"/>
        <v>History</v>
      </c>
      <c r="D8">
        <f t="shared" si="1"/>
        <v>70</v>
      </c>
      <c r="E8">
        <f t="shared" si="2"/>
        <v>100</v>
      </c>
      <c r="F8">
        <v>22</v>
      </c>
      <c r="G8" t="e">
        <f t="shared" si="3"/>
        <v>#N/A</v>
      </c>
      <c r="H8" t="str">
        <f t="shared" si="4"/>
        <v>Fail</v>
      </c>
      <c r="L8" t="s">
        <v>26</v>
      </c>
      <c r="M8">
        <v>0</v>
      </c>
      <c r="N8" t="s">
        <v>27</v>
      </c>
    </row>
    <row r="9" spans="1:14">
      <c r="A9" t="s">
        <v>28</v>
      </c>
      <c r="B9" t="s">
        <v>12</v>
      </c>
      <c r="C9" t="str">
        <f t="shared" si="0"/>
        <v>Maths</v>
      </c>
      <c r="D9">
        <f t="shared" si="1"/>
        <v>40</v>
      </c>
      <c r="E9">
        <f t="shared" si="2"/>
        <v>75</v>
      </c>
      <c r="F9">
        <v>23</v>
      </c>
      <c r="G9" t="e">
        <f t="shared" si="3"/>
        <v>#N/A</v>
      </c>
      <c r="H9" t="str">
        <f t="shared" si="4"/>
        <v>Fail</v>
      </c>
      <c r="L9" t="s">
        <v>29</v>
      </c>
      <c r="M9">
        <v>50</v>
      </c>
      <c r="N9" t="s">
        <v>18</v>
      </c>
    </row>
    <row r="10" spans="1:14">
      <c r="A10" t="s">
        <v>30</v>
      </c>
      <c r="B10" t="s">
        <v>15</v>
      </c>
      <c r="C10" t="str">
        <f t="shared" si="0"/>
        <v>History</v>
      </c>
      <c r="D10">
        <f t="shared" si="1"/>
        <v>70</v>
      </c>
      <c r="E10">
        <f t="shared" si="2"/>
        <v>100</v>
      </c>
      <c r="F10">
        <v>20</v>
      </c>
      <c r="G10" t="e">
        <f t="shared" si="3"/>
        <v>#N/A</v>
      </c>
      <c r="H10" t="str">
        <f t="shared" si="4"/>
        <v>Fail</v>
      </c>
      <c r="L10" t="s">
        <v>31</v>
      </c>
      <c r="M10">
        <v>60</v>
      </c>
      <c r="N10" t="s">
        <v>32</v>
      </c>
    </row>
    <row r="11" spans="1:14">
      <c r="A11" t="s">
        <v>33</v>
      </c>
      <c r="B11" t="s">
        <v>12</v>
      </c>
      <c r="C11" t="str">
        <f t="shared" si="0"/>
        <v>Maths</v>
      </c>
      <c r="D11">
        <f t="shared" si="1"/>
        <v>40</v>
      </c>
      <c r="E11">
        <f t="shared" si="2"/>
        <v>75</v>
      </c>
      <c r="F11">
        <v>31</v>
      </c>
      <c r="G11" t="e">
        <f t="shared" si="3"/>
        <v>#N/A</v>
      </c>
      <c r="H11" t="str">
        <f t="shared" si="4"/>
        <v>Fail</v>
      </c>
      <c r="L11" t="s">
        <v>34</v>
      </c>
      <c r="M11">
        <v>70</v>
      </c>
      <c r="N11" t="s">
        <v>35</v>
      </c>
    </row>
    <row r="12" spans="1:14">
      <c r="A12" t="s">
        <v>36</v>
      </c>
      <c r="B12" t="s">
        <v>18</v>
      </c>
      <c r="C12" t="str">
        <f t="shared" si="0"/>
        <v>Economics</v>
      </c>
      <c r="D12">
        <f t="shared" si="1"/>
        <v>55</v>
      </c>
      <c r="E12">
        <f t="shared" si="2"/>
        <v>60</v>
      </c>
      <c r="F12">
        <v>92</v>
      </c>
      <c r="G12" t="e">
        <f t="shared" si="3"/>
        <v>#N/A</v>
      </c>
      <c r="H12" t="str">
        <f t="shared" si="4"/>
        <v>A</v>
      </c>
      <c r="L12" t="s">
        <v>37</v>
      </c>
      <c r="M12">
        <v>80</v>
      </c>
      <c r="N12" t="s">
        <v>38</v>
      </c>
    </row>
    <row r="13" spans="1:14">
      <c r="A13" t="s">
        <v>39</v>
      </c>
      <c r="B13" t="s">
        <v>15</v>
      </c>
      <c r="C13" t="str">
        <f t="shared" si="0"/>
        <v>History</v>
      </c>
      <c r="D13">
        <f t="shared" si="1"/>
        <v>70</v>
      </c>
      <c r="E13">
        <f t="shared" si="2"/>
        <v>100</v>
      </c>
      <c r="F13">
        <v>70</v>
      </c>
      <c r="G13" t="str">
        <f t="shared" si="3"/>
        <v>C</v>
      </c>
      <c r="H13" t="str">
        <f t="shared" si="4"/>
        <v>C</v>
      </c>
      <c r="L13" t="s">
        <v>40</v>
      </c>
      <c r="M13">
        <v>90</v>
      </c>
      <c r="N13" t="s">
        <v>41</v>
      </c>
    </row>
    <row r="15" spans="5:6">
      <c r="E15" s="23" t="s">
        <v>42</v>
      </c>
      <c r="F15" s="23"/>
    </row>
    <row r="16" spans="9:9">
      <c r="I16" s="24"/>
    </row>
    <row r="17" spans="3:9">
      <c r="C17" s="27" t="s">
        <v>43</v>
      </c>
      <c r="D17" s="24"/>
      <c r="E17" s="24"/>
      <c r="F17" s="24"/>
      <c r="G17" s="24"/>
      <c r="H17" s="24"/>
      <c r="I17" s="24"/>
    </row>
    <row r="18" spans="3:9">
      <c r="C18" s="24" t="s">
        <v>44</v>
      </c>
      <c r="D18" s="24"/>
      <c r="E18" s="24"/>
      <c r="F18" s="24"/>
      <c r="G18" s="24"/>
      <c r="H18" s="24"/>
      <c r="I18" s="24"/>
    </row>
    <row r="19" spans="3:8">
      <c r="C19" s="24" t="s">
        <v>45</v>
      </c>
      <c r="D19" s="24"/>
      <c r="E19" s="24"/>
      <c r="F19" s="24"/>
      <c r="G19" s="24"/>
      <c r="H19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P14"/>
  <sheetViews>
    <sheetView workbookViewId="0">
      <selection activeCell="J3" sqref="J3:J14"/>
    </sheetView>
  </sheetViews>
  <sheetFormatPr defaultColWidth="8.72727272727273" defaultRowHeight="14.5"/>
  <sheetData>
    <row r="3" spans="3:14">
      <c r="C3">
        <f ca="1">RANDBETWEEN(20,1000)</f>
        <v>492</v>
      </c>
      <c r="D3">
        <f ca="1" t="shared" ref="D3:N3" si="0">RANDBETWEEN(20,1000)</f>
        <v>146</v>
      </c>
      <c r="E3">
        <f ca="1" t="shared" si="0"/>
        <v>243</v>
      </c>
      <c r="F3">
        <f ca="1" t="shared" si="0"/>
        <v>602</v>
      </c>
      <c r="G3">
        <f ca="1" t="shared" si="0"/>
        <v>766</v>
      </c>
      <c r="H3">
        <f ca="1" t="shared" si="0"/>
        <v>149</v>
      </c>
      <c r="I3">
        <f ca="1" t="shared" si="0"/>
        <v>239</v>
      </c>
      <c r="J3">
        <f ca="1" t="shared" si="0"/>
        <v>466</v>
      </c>
      <c r="K3">
        <f ca="1" t="shared" si="0"/>
        <v>866</v>
      </c>
      <c r="L3">
        <f ca="1" t="shared" si="0"/>
        <v>69</v>
      </c>
      <c r="M3">
        <f ca="1" t="shared" si="0"/>
        <v>43</v>
      </c>
      <c r="N3">
        <f ca="1" t="shared" si="0"/>
        <v>984</v>
      </c>
    </row>
    <row r="4" spans="3:16">
      <c r="C4">
        <f ca="1" t="shared" ref="C4:C14" si="1">RANDBETWEEN(20,1000)</f>
        <v>655</v>
      </c>
      <c r="D4">
        <f ca="1" t="shared" ref="D4:D14" si="2">RANDBETWEEN(20,1000)</f>
        <v>149</v>
      </c>
      <c r="E4">
        <f ca="1" t="shared" ref="E4:E14" si="3">RANDBETWEEN(20,1000)</f>
        <v>962</v>
      </c>
      <c r="F4">
        <f ca="1" t="shared" ref="F4:F14" si="4">RANDBETWEEN(20,1000)</f>
        <v>994</v>
      </c>
      <c r="G4">
        <f ca="1" t="shared" ref="G4:G14" si="5">RANDBETWEEN(20,1000)</f>
        <v>948</v>
      </c>
      <c r="H4">
        <f ca="1" t="shared" ref="H4:H14" si="6">RANDBETWEEN(20,1000)</f>
        <v>113</v>
      </c>
      <c r="I4">
        <f ca="1" t="shared" ref="I4:I14" si="7">RANDBETWEEN(20,1000)</f>
        <v>52</v>
      </c>
      <c r="J4">
        <f ca="1" t="shared" ref="J4:J14" si="8">RANDBETWEEN(20,1000)</f>
        <v>377</v>
      </c>
      <c r="K4">
        <f ca="1" t="shared" ref="K4:K14" si="9">RANDBETWEEN(20,1000)</f>
        <v>910</v>
      </c>
      <c r="L4">
        <f ca="1" t="shared" ref="L4:L14" si="10">RANDBETWEEN(20,1000)</f>
        <v>615</v>
      </c>
      <c r="M4">
        <f ca="1" t="shared" ref="M4:M14" si="11">RANDBETWEEN(20,1000)</f>
        <v>158</v>
      </c>
      <c r="N4">
        <f ca="1" t="shared" ref="N4:N14" si="12">RANDBETWEEN(20,1000)</f>
        <v>221</v>
      </c>
      <c r="P4">
        <f ca="1">INDEX(C3:N14,2,7)</f>
        <v>52</v>
      </c>
    </row>
    <row r="5" spans="3:14">
      <c r="C5">
        <f ca="1" t="shared" si="1"/>
        <v>221</v>
      </c>
      <c r="D5">
        <f ca="1" t="shared" si="2"/>
        <v>38</v>
      </c>
      <c r="E5">
        <f ca="1" t="shared" si="3"/>
        <v>157</v>
      </c>
      <c r="F5">
        <f ca="1" t="shared" si="4"/>
        <v>960</v>
      </c>
      <c r="G5">
        <f ca="1" t="shared" si="5"/>
        <v>932</v>
      </c>
      <c r="H5">
        <f ca="1" t="shared" si="6"/>
        <v>888</v>
      </c>
      <c r="I5">
        <f ca="1" t="shared" si="7"/>
        <v>669</v>
      </c>
      <c r="J5">
        <f ca="1" t="shared" si="8"/>
        <v>514</v>
      </c>
      <c r="K5">
        <f ca="1" t="shared" si="9"/>
        <v>625</v>
      </c>
      <c r="L5">
        <f ca="1" t="shared" si="10"/>
        <v>566</v>
      </c>
      <c r="M5">
        <f ca="1" t="shared" si="11"/>
        <v>471</v>
      </c>
      <c r="N5">
        <f ca="1" t="shared" si="12"/>
        <v>518</v>
      </c>
    </row>
    <row r="6" spans="3:16">
      <c r="C6">
        <f ca="1" t="shared" si="1"/>
        <v>512</v>
      </c>
      <c r="D6">
        <f ca="1" t="shared" si="2"/>
        <v>51</v>
      </c>
      <c r="E6">
        <f ca="1" t="shared" si="3"/>
        <v>542</v>
      </c>
      <c r="F6">
        <f ca="1" t="shared" si="4"/>
        <v>25</v>
      </c>
      <c r="G6">
        <f ca="1" t="shared" si="5"/>
        <v>97</v>
      </c>
      <c r="H6">
        <f ca="1" t="shared" si="6"/>
        <v>124</v>
      </c>
      <c r="I6">
        <f ca="1" t="shared" si="7"/>
        <v>205</v>
      </c>
      <c r="J6">
        <f ca="1" t="shared" si="8"/>
        <v>26</v>
      </c>
      <c r="K6">
        <f ca="1" t="shared" si="9"/>
        <v>622</v>
      </c>
      <c r="L6">
        <f ca="1" t="shared" si="10"/>
        <v>313</v>
      </c>
      <c r="M6">
        <f ca="1" t="shared" si="11"/>
        <v>432</v>
      </c>
      <c r="N6">
        <f ca="1" t="shared" si="12"/>
        <v>382</v>
      </c>
      <c r="P6">
        <f ca="1">INDEX(C3:N14,2,2)</f>
        <v>149</v>
      </c>
    </row>
    <row r="7" spans="3:14">
      <c r="C7">
        <f ca="1" t="shared" si="1"/>
        <v>929</v>
      </c>
      <c r="D7">
        <f ca="1" t="shared" si="2"/>
        <v>163</v>
      </c>
      <c r="E7">
        <f ca="1" t="shared" si="3"/>
        <v>806</v>
      </c>
      <c r="F7">
        <f ca="1" t="shared" si="4"/>
        <v>118</v>
      </c>
      <c r="G7">
        <f ca="1" t="shared" si="5"/>
        <v>426</v>
      </c>
      <c r="H7">
        <f ca="1" t="shared" si="6"/>
        <v>48</v>
      </c>
      <c r="I7">
        <f ca="1" t="shared" si="7"/>
        <v>410</v>
      </c>
      <c r="J7">
        <f ca="1" t="shared" si="8"/>
        <v>61</v>
      </c>
      <c r="K7">
        <f ca="1" t="shared" si="9"/>
        <v>345</v>
      </c>
      <c r="L7">
        <f ca="1" t="shared" si="10"/>
        <v>310</v>
      </c>
      <c r="M7">
        <f ca="1" t="shared" si="11"/>
        <v>456</v>
      </c>
      <c r="N7">
        <f ca="1" t="shared" si="12"/>
        <v>251</v>
      </c>
    </row>
    <row r="8" spans="3:16">
      <c r="C8">
        <f ca="1" t="shared" si="1"/>
        <v>733</v>
      </c>
      <c r="D8">
        <f ca="1" t="shared" si="2"/>
        <v>212</v>
      </c>
      <c r="E8">
        <f ca="1" t="shared" si="3"/>
        <v>570</v>
      </c>
      <c r="F8">
        <f ca="1" t="shared" si="4"/>
        <v>116</v>
      </c>
      <c r="G8">
        <f ca="1" t="shared" si="5"/>
        <v>668</v>
      </c>
      <c r="H8">
        <f ca="1" t="shared" si="6"/>
        <v>62</v>
      </c>
      <c r="I8">
        <f ca="1" t="shared" si="7"/>
        <v>156</v>
      </c>
      <c r="J8">
        <f ca="1" t="shared" si="8"/>
        <v>209</v>
      </c>
      <c r="K8">
        <f ca="1" t="shared" si="9"/>
        <v>94</v>
      </c>
      <c r="L8">
        <f ca="1" t="shared" si="10"/>
        <v>193</v>
      </c>
      <c r="M8">
        <f ca="1" t="shared" si="11"/>
        <v>312</v>
      </c>
      <c r="N8">
        <f ca="1" t="shared" si="12"/>
        <v>412</v>
      </c>
      <c r="P8">
        <f ca="1">INDEX(C3:N14,3,7)</f>
        <v>669</v>
      </c>
    </row>
    <row r="9" spans="3:14">
      <c r="C9">
        <f ca="1" t="shared" si="1"/>
        <v>984</v>
      </c>
      <c r="D9">
        <f ca="1" t="shared" si="2"/>
        <v>778</v>
      </c>
      <c r="E9">
        <f ca="1" t="shared" si="3"/>
        <v>52</v>
      </c>
      <c r="F9">
        <f ca="1" t="shared" si="4"/>
        <v>795</v>
      </c>
      <c r="G9">
        <f ca="1" t="shared" si="5"/>
        <v>557</v>
      </c>
      <c r="H9">
        <f ca="1" t="shared" si="6"/>
        <v>67</v>
      </c>
      <c r="I9">
        <f ca="1" t="shared" si="7"/>
        <v>619</v>
      </c>
      <c r="J9">
        <f ca="1" t="shared" si="8"/>
        <v>773</v>
      </c>
      <c r="K9">
        <f ca="1" t="shared" si="9"/>
        <v>144</v>
      </c>
      <c r="L9">
        <f ca="1" t="shared" si="10"/>
        <v>124</v>
      </c>
      <c r="M9">
        <f ca="1" t="shared" si="11"/>
        <v>289</v>
      </c>
      <c r="N9">
        <f ca="1" t="shared" si="12"/>
        <v>551</v>
      </c>
    </row>
    <row r="10" spans="3:14">
      <c r="C10">
        <f ca="1" t="shared" si="1"/>
        <v>622</v>
      </c>
      <c r="D10">
        <f ca="1" t="shared" si="2"/>
        <v>299</v>
      </c>
      <c r="E10">
        <f ca="1" t="shared" si="3"/>
        <v>420</v>
      </c>
      <c r="F10">
        <f ca="1" t="shared" si="4"/>
        <v>640</v>
      </c>
      <c r="G10">
        <f ca="1" t="shared" si="5"/>
        <v>569</v>
      </c>
      <c r="H10">
        <f ca="1" t="shared" si="6"/>
        <v>246</v>
      </c>
      <c r="I10">
        <f ca="1" t="shared" si="7"/>
        <v>510</v>
      </c>
      <c r="J10">
        <f ca="1" t="shared" si="8"/>
        <v>457</v>
      </c>
      <c r="K10">
        <f ca="1" t="shared" si="9"/>
        <v>585</v>
      </c>
      <c r="L10">
        <f ca="1" t="shared" si="10"/>
        <v>984</v>
      </c>
      <c r="M10">
        <f ca="1" t="shared" si="11"/>
        <v>88</v>
      </c>
      <c r="N10">
        <f ca="1" t="shared" si="12"/>
        <v>999</v>
      </c>
    </row>
    <row r="11" spans="3:14">
      <c r="C11">
        <f ca="1" t="shared" si="1"/>
        <v>823</v>
      </c>
      <c r="D11">
        <f ca="1" t="shared" si="2"/>
        <v>944</v>
      </c>
      <c r="E11">
        <f ca="1" t="shared" si="3"/>
        <v>86</v>
      </c>
      <c r="F11">
        <f ca="1" t="shared" si="4"/>
        <v>995</v>
      </c>
      <c r="G11">
        <f ca="1" t="shared" si="5"/>
        <v>775</v>
      </c>
      <c r="H11">
        <f ca="1" t="shared" si="6"/>
        <v>60</v>
      </c>
      <c r="I11">
        <f ca="1" t="shared" si="7"/>
        <v>817</v>
      </c>
      <c r="J11">
        <f ca="1" t="shared" si="8"/>
        <v>851</v>
      </c>
      <c r="K11">
        <f ca="1" t="shared" si="9"/>
        <v>950</v>
      </c>
      <c r="L11">
        <f ca="1" t="shared" si="10"/>
        <v>504</v>
      </c>
      <c r="M11">
        <f ca="1" t="shared" si="11"/>
        <v>225</v>
      </c>
      <c r="N11">
        <f ca="1" t="shared" si="12"/>
        <v>807</v>
      </c>
    </row>
    <row r="12" spans="3:14">
      <c r="C12">
        <f ca="1" t="shared" si="1"/>
        <v>266</v>
      </c>
      <c r="D12">
        <f ca="1" t="shared" si="2"/>
        <v>534</v>
      </c>
      <c r="E12">
        <f ca="1" t="shared" si="3"/>
        <v>34</v>
      </c>
      <c r="F12">
        <f ca="1" t="shared" si="4"/>
        <v>492</v>
      </c>
      <c r="G12">
        <f ca="1" t="shared" si="5"/>
        <v>861</v>
      </c>
      <c r="H12">
        <f ca="1" t="shared" si="6"/>
        <v>649</v>
      </c>
      <c r="I12">
        <f ca="1" t="shared" si="7"/>
        <v>542</v>
      </c>
      <c r="J12">
        <f ca="1" t="shared" si="8"/>
        <v>321</v>
      </c>
      <c r="K12">
        <f ca="1" t="shared" si="9"/>
        <v>398</v>
      </c>
      <c r="L12">
        <f ca="1" t="shared" si="10"/>
        <v>97</v>
      </c>
      <c r="M12">
        <f ca="1" t="shared" si="11"/>
        <v>500</v>
      </c>
      <c r="N12">
        <f ca="1" t="shared" si="12"/>
        <v>428</v>
      </c>
    </row>
    <row r="13" spans="3:14">
      <c r="C13">
        <f ca="1" t="shared" si="1"/>
        <v>732</v>
      </c>
      <c r="D13">
        <f ca="1" t="shared" si="2"/>
        <v>321</v>
      </c>
      <c r="E13">
        <f ca="1" t="shared" si="3"/>
        <v>873</v>
      </c>
      <c r="F13">
        <f ca="1" t="shared" si="4"/>
        <v>728</v>
      </c>
      <c r="G13">
        <f ca="1" t="shared" si="5"/>
        <v>518</v>
      </c>
      <c r="H13">
        <f ca="1" t="shared" si="6"/>
        <v>620</v>
      </c>
      <c r="I13">
        <f ca="1" t="shared" si="7"/>
        <v>222</v>
      </c>
      <c r="J13">
        <f ca="1" t="shared" si="8"/>
        <v>922</v>
      </c>
      <c r="K13">
        <f ca="1" t="shared" si="9"/>
        <v>927</v>
      </c>
      <c r="L13">
        <f ca="1" t="shared" si="10"/>
        <v>705</v>
      </c>
      <c r="M13">
        <f ca="1" t="shared" si="11"/>
        <v>944</v>
      </c>
      <c r="N13">
        <f ca="1" t="shared" si="12"/>
        <v>87</v>
      </c>
    </row>
    <row r="14" spans="3:14">
      <c r="C14">
        <f ca="1" t="shared" si="1"/>
        <v>162</v>
      </c>
      <c r="D14">
        <f ca="1" t="shared" si="2"/>
        <v>706</v>
      </c>
      <c r="E14">
        <f ca="1" t="shared" si="3"/>
        <v>210</v>
      </c>
      <c r="F14">
        <f ca="1" t="shared" si="4"/>
        <v>166</v>
      </c>
      <c r="G14">
        <f ca="1" t="shared" si="5"/>
        <v>267</v>
      </c>
      <c r="H14">
        <f ca="1" t="shared" si="6"/>
        <v>952</v>
      </c>
      <c r="I14">
        <f ca="1" t="shared" si="7"/>
        <v>154</v>
      </c>
      <c r="J14">
        <f ca="1" t="shared" si="8"/>
        <v>321</v>
      </c>
      <c r="K14">
        <f ca="1" t="shared" si="9"/>
        <v>834</v>
      </c>
      <c r="L14">
        <f ca="1" t="shared" si="10"/>
        <v>118</v>
      </c>
      <c r="M14">
        <f ca="1" t="shared" si="11"/>
        <v>138</v>
      </c>
      <c r="N14">
        <f ca="1" t="shared" si="12"/>
        <v>441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1"/>
  <sheetViews>
    <sheetView topLeftCell="A3" workbookViewId="0">
      <selection activeCell="G8" sqref="G8"/>
    </sheetView>
  </sheetViews>
  <sheetFormatPr defaultColWidth="8.72727272727273" defaultRowHeight="14.5" outlineLevelCol="5"/>
  <cols>
    <col min="7" max="7" width="11.0909090909091" customWidth="1"/>
  </cols>
  <sheetData>
    <row r="2" spans="6:6">
      <c r="F2">
        <f>MATCH(76,B4:B21,0)</f>
        <v>4</v>
      </c>
    </row>
    <row r="4" spans="2:2">
      <c r="B4">
        <v>34</v>
      </c>
    </row>
    <row r="5" spans="2:4">
      <c r="B5">
        <v>56</v>
      </c>
      <c r="D5">
        <f>MATCH(76,B4:B21,0)</f>
        <v>4</v>
      </c>
    </row>
    <row r="6" spans="2:2">
      <c r="B6">
        <v>55</v>
      </c>
    </row>
    <row r="7" spans="2:2">
      <c r="B7">
        <v>76</v>
      </c>
    </row>
    <row r="8" spans="2:2">
      <c r="B8">
        <v>43</v>
      </c>
    </row>
    <row r="9" spans="2:4">
      <c r="B9">
        <v>83</v>
      </c>
      <c r="D9">
        <f>MATCH(22,B4:B22,1)</f>
        <v>12</v>
      </c>
    </row>
    <row r="10" spans="2:4">
      <c r="B10">
        <v>76</v>
      </c>
      <c r="D10">
        <f>MATCH(57,B4:B21,1)</f>
        <v>3</v>
      </c>
    </row>
    <row r="11" spans="2:2">
      <c r="B11">
        <v>93</v>
      </c>
    </row>
    <row r="12" spans="2:2">
      <c r="B12">
        <v>63</v>
      </c>
    </row>
    <row r="13" spans="2:2">
      <c r="B13">
        <v>8</v>
      </c>
    </row>
    <row r="14" spans="2:2">
      <c r="B14">
        <v>36</v>
      </c>
    </row>
    <row r="15" spans="2:2">
      <c r="B15">
        <v>21</v>
      </c>
    </row>
    <row r="16" spans="2:2">
      <c r="B16">
        <v>52</v>
      </c>
    </row>
    <row r="17" spans="2:2">
      <c r="B17">
        <v>667</v>
      </c>
    </row>
    <row r="18" spans="2:2">
      <c r="B18">
        <v>86</v>
      </c>
    </row>
    <row r="19" spans="2:2">
      <c r="B19">
        <v>4</v>
      </c>
    </row>
    <row r="20" spans="2:2">
      <c r="B20">
        <v>65</v>
      </c>
    </row>
    <row r="21" spans="2:2">
      <c r="B21">
        <v>64</v>
      </c>
    </row>
  </sheetData>
  <sortState ref="G5:G17">
    <sortCondition ref="G5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L12" sqref="L12"/>
    </sheetView>
  </sheetViews>
  <sheetFormatPr defaultColWidth="8.72727272727273" defaultRowHeight="14.5"/>
  <cols>
    <col min="1" max="1" width="8.63636363636364" customWidth="1"/>
    <col min="2" max="2" width="11.3636363636364" customWidth="1"/>
    <col min="3" max="3" width="12.2727272727273" customWidth="1"/>
    <col min="4" max="4" width="15.4545454545455" customWidth="1"/>
    <col min="5" max="5" width="11.4545454545455" customWidth="1"/>
    <col min="9" max="9" width="19.8181818181818" customWidth="1"/>
    <col min="12" max="12" width="15.8181818181818" customWidth="1"/>
  </cols>
  <sheetData>
    <row r="1" spans="1:5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</row>
    <row r="2" spans="1:9">
      <c r="A2" t="s">
        <v>51</v>
      </c>
      <c r="B2" t="s">
        <v>52</v>
      </c>
      <c r="C2" t="s">
        <v>53</v>
      </c>
      <c r="D2">
        <f ca="1">RANDBETWEEN(20000,70000)</f>
        <v>58061</v>
      </c>
      <c r="E2">
        <f ca="1">RANDBETWEEN(25,60)</f>
        <v>55</v>
      </c>
      <c r="H2" s="12" t="s">
        <v>54</v>
      </c>
      <c r="I2" t="s">
        <v>55</v>
      </c>
    </row>
    <row r="3" spans="1:5">
      <c r="A3" t="s">
        <v>56</v>
      </c>
      <c r="B3" t="s">
        <v>57</v>
      </c>
      <c r="C3" t="s">
        <v>58</v>
      </c>
      <c r="D3">
        <f ca="1" t="shared" ref="D3:D12" si="0">RANDBETWEEN(20000,70000)</f>
        <v>22945</v>
      </c>
      <c r="E3">
        <f ca="1" t="shared" ref="E3:E12" si="1">RANDBETWEEN(25,60)</f>
        <v>57</v>
      </c>
    </row>
    <row r="4" spans="1:12">
      <c r="A4" t="s">
        <v>59</v>
      </c>
      <c r="B4" t="s">
        <v>60</v>
      </c>
      <c r="C4" t="s">
        <v>61</v>
      </c>
      <c r="D4">
        <f ca="1" t="shared" si="0"/>
        <v>69628</v>
      </c>
      <c r="E4">
        <f ca="1" t="shared" si="1"/>
        <v>33</v>
      </c>
      <c r="H4" s="13" t="s">
        <v>62</v>
      </c>
      <c r="I4" s="14" t="str" cm="1">
        <f ca="1" t="array" ref="I4">INDEX(A1:E51,MATCH(I2,$C$1:$C$51,0),1)</f>
        <v>DEL</v>
      </c>
      <c r="K4" s="15" t="s">
        <v>62</v>
      </c>
      <c r="L4" s="14" t="str">
        <f>LOOKUP(I2,C2:C51,A2:A51)</f>
        <v>DEL</v>
      </c>
    </row>
    <row r="5" spans="1:12">
      <c r="A5" t="s">
        <v>63</v>
      </c>
      <c r="B5" t="s">
        <v>64</v>
      </c>
      <c r="C5" t="s">
        <v>65</v>
      </c>
      <c r="D5">
        <f ca="1" t="shared" si="0"/>
        <v>36782</v>
      </c>
      <c r="E5">
        <f ca="1" t="shared" si="1"/>
        <v>54</v>
      </c>
      <c r="H5" s="13" t="s">
        <v>47</v>
      </c>
      <c r="I5" s="14" t="str" cm="1">
        <f ca="1" t="array" ref="I5">INDEX(A1:E52,MATCH(I2,C1:C52,0),2)</f>
        <v>Admin</v>
      </c>
      <c r="K5" s="15" t="s">
        <v>47</v>
      </c>
      <c r="L5" s="14" t="str">
        <f>LOOKUP(I2,C2:C51,B2:B51)</f>
        <v>Admin</v>
      </c>
    </row>
    <row r="6" spans="1:12">
      <c r="A6" t="s">
        <v>66</v>
      </c>
      <c r="B6" t="s">
        <v>67</v>
      </c>
      <c r="C6" t="s">
        <v>68</v>
      </c>
      <c r="D6">
        <f ca="1" t="shared" si="0"/>
        <v>22601</v>
      </c>
      <c r="E6">
        <f ca="1" t="shared" si="1"/>
        <v>34</v>
      </c>
      <c r="H6" s="13" t="s">
        <v>49</v>
      </c>
      <c r="I6" s="14" cm="1">
        <f ca="1" t="array" ref="I6">INDEX(A1:E52,MATCH(I2,$C$1:$C$52,0),4)</f>
        <v>37298</v>
      </c>
      <c r="K6" s="15" t="s">
        <v>49</v>
      </c>
      <c r="L6" s="14">
        <f ca="1">LOOKUP(I2,C2:C51,D2:D51)</f>
        <v>37298</v>
      </c>
    </row>
    <row r="7" spans="1:12">
      <c r="A7" t="s">
        <v>59</v>
      </c>
      <c r="B7" t="s">
        <v>52</v>
      </c>
      <c r="C7" t="s">
        <v>69</v>
      </c>
      <c r="D7">
        <f ca="1" t="shared" si="0"/>
        <v>53736</v>
      </c>
      <c r="E7">
        <f ca="1" t="shared" si="1"/>
        <v>27</v>
      </c>
      <c r="H7" s="13" t="s">
        <v>50</v>
      </c>
      <c r="I7" s="14" cm="1">
        <f ca="1" t="array" ref="I7">INDEX(A1:E51,MATCH(I2,C1:C51,0),5)</f>
        <v>56</v>
      </c>
      <c r="K7" s="15" t="s">
        <v>50</v>
      </c>
      <c r="L7" s="14">
        <f ca="1">LOOKUP(I2,C2:C51,E2:E51)</f>
        <v>56</v>
      </c>
    </row>
    <row r="8" spans="1:12">
      <c r="A8" t="s">
        <v>63</v>
      </c>
      <c r="B8" t="s">
        <v>57</v>
      </c>
      <c r="C8" t="s">
        <v>70</v>
      </c>
      <c r="D8">
        <f ca="1" t="shared" si="0"/>
        <v>43552</v>
      </c>
      <c r="E8">
        <f ca="1" t="shared" si="1"/>
        <v>42</v>
      </c>
      <c r="I8" s="8"/>
      <c r="L8" s="8"/>
    </row>
    <row r="9" ht="15.25" spans="1:12">
      <c r="A9" t="s">
        <v>66</v>
      </c>
      <c r="B9" t="s">
        <v>60</v>
      </c>
      <c r="C9" t="s">
        <v>55</v>
      </c>
      <c r="D9">
        <f ca="1" t="shared" si="0"/>
        <v>37298</v>
      </c>
      <c r="E9">
        <f ca="1" t="shared" si="1"/>
        <v>56</v>
      </c>
      <c r="I9" s="8"/>
      <c r="L9" s="8"/>
    </row>
    <row r="10" ht="15.25" spans="1:12">
      <c r="A10" t="s">
        <v>63</v>
      </c>
      <c r="B10" t="s">
        <v>64</v>
      </c>
      <c r="C10" t="s">
        <v>71</v>
      </c>
      <c r="D10">
        <f ca="1" t="shared" si="0"/>
        <v>49057</v>
      </c>
      <c r="E10">
        <f ca="1" t="shared" si="1"/>
        <v>53</v>
      </c>
      <c r="H10" s="13" t="s">
        <v>62</v>
      </c>
      <c r="I10" s="14" t="str" cm="1">
        <f ca="1" t="array" ref="I10">INDEX(A1:E51,MATCH(I2,$C$2:$C$51,0)+1,1)</f>
        <v>DEL</v>
      </c>
      <c r="K10" s="16" t="s">
        <v>62</v>
      </c>
      <c r="L10" s="17" t="str">
        <f ca="1">LOOKUP(I2,C2:C51,INDIRECT(K10))</f>
        <v>DEL</v>
      </c>
    </row>
    <row r="11" ht="15.25" spans="1:12">
      <c r="A11" t="s">
        <v>66</v>
      </c>
      <c r="B11" t="s">
        <v>67</v>
      </c>
      <c r="C11" t="s">
        <v>72</v>
      </c>
      <c r="D11">
        <f ca="1" t="shared" si="0"/>
        <v>55544</v>
      </c>
      <c r="E11">
        <f ca="1" t="shared" si="1"/>
        <v>32</v>
      </c>
      <c r="H11" s="13" t="s">
        <v>47</v>
      </c>
      <c r="I11" s="14" t="str" cm="1">
        <f ca="1" t="array" ref="I11">INDEX(A1:E51,MATCH(I2,$C$2:$C$51,0)+1,2)</f>
        <v>Admin</v>
      </c>
      <c r="K11" s="18" t="s">
        <v>47</v>
      </c>
      <c r="L11" s="17" t="str">
        <f ca="1">LOOKUP(I2,C2:C51,INDIRECT(K11))</f>
        <v>Admin</v>
      </c>
    </row>
    <row r="12" ht="15.25" spans="1:12">
      <c r="A12" t="s">
        <v>59</v>
      </c>
      <c r="B12" t="s">
        <v>52</v>
      </c>
      <c r="C12" t="s">
        <v>73</v>
      </c>
      <c r="D12">
        <f ca="1" t="shared" si="0"/>
        <v>28947</v>
      </c>
      <c r="E12">
        <f ca="1" t="shared" si="1"/>
        <v>32</v>
      </c>
      <c r="H12" s="13" t="s">
        <v>49</v>
      </c>
      <c r="I12" s="14" cm="1">
        <f ca="1" t="array" ref="I12">INDEX(A1:E51,MATCH(I2,C$1:$C$52,0)+1,4)</f>
        <v>49057</v>
      </c>
      <c r="K12" s="19" t="s">
        <v>49</v>
      </c>
      <c r="L12" s="20">
        <f ca="1">LOOKUP(I2,C2:C51,INDIRECT(K12))</f>
        <v>37298</v>
      </c>
    </row>
    <row r="13" ht="15.25" spans="1:12">
      <c r="A13" t="s">
        <v>63</v>
      </c>
      <c r="B13" t="s">
        <v>57</v>
      </c>
      <c r="C13" t="s">
        <v>74</v>
      </c>
      <c r="D13">
        <f ca="1" t="shared" ref="D13:D22" si="2">RANDBETWEEN(20000,70000)</f>
        <v>61396</v>
      </c>
      <c r="E13">
        <f ca="1" t="shared" ref="E13:E22" si="3">RANDBETWEEN(25,60)</f>
        <v>49</v>
      </c>
      <c r="H13" s="13" t="s">
        <v>50</v>
      </c>
      <c r="I13" s="14" cm="1">
        <f ca="1" t="array" ref="I13">INDEX(A1:E51,MATCH(I2,$C$2:$C$51,0)+1,5)</f>
        <v>56</v>
      </c>
      <c r="K13" s="21" t="s">
        <v>50</v>
      </c>
      <c r="L13" s="22">
        <f ca="1">LOOKUP(I2,C2:C51,INDIRECT(K13))</f>
        <v>56</v>
      </c>
    </row>
    <row r="14" spans="1:5">
      <c r="A14" t="s">
        <v>66</v>
      </c>
      <c r="B14" t="s">
        <v>52</v>
      </c>
      <c r="C14" t="s">
        <v>75</v>
      </c>
      <c r="D14">
        <f ca="1" t="shared" si="2"/>
        <v>22685</v>
      </c>
      <c r="E14">
        <f ca="1" t="shared" si="3"/>
        <v>55</v>
      </c>
    </row>
    <row r="15" spans="1:5">
      <c r="A15" t="s">
        <v>59</v>
      </c>
      <c r="B15" t="s">
        <v>57</v>
      </c>
      <c r="C15" t="s">
        <v>76</v>
      </c>
      <c r="D15">
        <f ca="1" t="shared" si="2"/>
        <v>61477</v>
      </c>
      <c r="E15">
        <f ca="1" t="shared" si="3"/>
        <v>35</v>
      </c>
    </row>
    <row r="16" spans="1:5">
      <c r="A16" t="s">
        <v>63</v>
      </c>
      <c r="B16" t="s">
        <v>60</v>
      </c>
      <c r="C16" t="s">
        <v>77</v>
      </c>
      <c r="D16">
        <f ca="1" t="shared" si="2"/>
        <v>49052</v>
      </c>
      <c r="E16">
        <f ca="1" t="shared" si="3"/>
        <v>52</v>
      </c>
    </row>
    <row r="17" spans="1:5">
      <c r="A17" t="s">
        <v>66</v>
      </c>
      <c r="B17" t="s">
        <v>64</v>
      </c>
      <c r="C17" t="s">
        <v>78</v>
      </c>
      <c r="D17">
        <f ca="1" t="shared" si="2"/>
        <v>28321</v>
      </c>
      <c r="E17">
        <f ca="1" t="shared" si="3"/>
        <v>35</v>
      </c>
    </row>
    <row r="18" spans="1:5">
      <c r="A18" t="s">
        <v>59</v>
      </c>
      <c r="B18" t="s">
        <v>67</v>
      </c>
      <c r="C18" t="s">
        <v>79</v>
      </c>
      <c r="D18">
        <f ca="1" t="shared" si="2"/>
        <v>37202</v>
      </c>
      <c r="E18">
        <f ca="1" t="shared" si="3"/>
        <v>35</v>
      </c>
    </row>
    <row r="19" spans="1:5">
      <c r="A19" t="s">
        <v>63</v>
      </c>
      <c r="B19" t="s">
        <v>57</v>
      </c>
      <c r="C19" t="s">
        <v>80</v>
      </c>
      <c r="D19">
        <f ca="1" t="shared" si="2"/>
        <v>54477</v>
      </c>
      <c r="E19">
        <f ca="1" t="shared" si="3"/>
        <v>27</v>
      </c>
    </row>
    <row r="20" spans="1:5">
      <c r="A20" t="s">
        <v>66</v>
      </c>
      <c r="B20" t="s">
        <v>60</v>
      </c>
      <c r="C20" t="s">
        <v>81</v>
      </c>
      <c r="D20">
        <f ca="1" t="shared" si="2"/>
        <v>24501</v>
      </c>
      <c r="E20">
        <f ca="1" t="shared" si="3"/>
        <v>28</v>
      </c>
    </row>
    <row r="21" spans="1:5">
      <c r="A21" t="s">
        <v>63</v>
      </c>
      <c r="B21" t="s">
        <v>64</v>
      </c>
      <c r="C21" t="s">
        <v>82</v>
      </c>
      <c r="D21">
        <f ca="1" t="shared" si="2"/>
        <v>60319</v>
      </c>
      <c r="E21">
        <f ca="1" t="shared" si="3"/>
        <v>40</v>
      </c>
    </row>
    <row r="22" spans="1:5">
      <c r="A22" t="s">
        <v>66</v>
      </c>
      <c r="B22" t="s">
        <v>67</v>
      </c>
      <c r="C22" t="s">
        <v>83</v>
      </c>
      <c r="D22">
        <f ca="1" t="shared" si="2"/>
        <v>23958</v>
      </c>
      <c r="E22">
        <f ca="1" t="shared" si="3"/>
        <v>25</v>
      </c>
    </row>
    <row r="23" spans="1:5">
      <c r="A23" t="s">
        <v>59</v>
      </c>
      <c r="B23" t="s">
        <v>52</v>
      </c>
      <c r="C23" t="s">
        <v>84</v>
      </c>
      <c r="D23">
        <f ca="1" t="shared" ref="D23:D32" si="4">RANDBETWEEN(20000,70000)</f>
        <v>30613</v>
      </c>
      <c r="E23">
        <f ca="1" t="shared" ref="E23:E32" si="5">RANDBETWEEN(25,60)</f>
        <v>51</v>
      </c>
    </row>
    <row r="24" spans="1:5">
      <c r="A24" t="s">
        <v>63</v>
      </c>
      <c r="B24" t="s">
        <v>57</v>
      </c>
      <c r="C24" t="s">
        <v>85</v>
      </c>
      <c r="D24">
        <f ca="1" t="shared" si="4"/>
        <v>34268</v>
      </c>
      <c r="E24">
        <f ca="1" t="shared" si="5"/>
        <v>28</v>
      </c>
    </row>
    <row r="25" spans="1:5">
      <c r="A25" t="s">
        <v>66</v>
      </c>
      <c r="B25" t="s">
        <v>52</v>
      </c>
      <c r="C25" t="s">
        <v>86</v>
      </c>
      <c r="D25">
        <f ca="1" t="shared" si="4"/>
        <v>60260</v>
      </c>
      <c r="E25">
        <f ca="1" t="shared" si="5"/>
        <v>37</v>
      </c>
    </row>
    <row r="26" spans="1:5">
      <c r="A26" t="s">
        <v>51</v>
      </c>
      <c r="B26" t="s">
        <v>57</v>
      </c>
      <c r="C26" t="s">
        <v>87</v>
      </c>
      <c r="D26">
        <f ca="1" t="shared" si="4"/>
        <v>66404</v>
      </c>
      <c r="E26">
        <f ca="1" t="shared" si="5"/>
        <v>60</v>
      </c>
    </row>
    <row r="27" spans="1:5">
      <c r="A27" t="s">
        <v>56</v>
      </c>
      <c r="B27" t="s">
        <v>60</v>
      </c>
      <c r="C27" t="s">
        <v>88</v>
      </c>
      <c r="D27">
        <f ca="1" t="shared" si="4"/>
        <v>26176</v>
      </c>
      <c r="E27">
        <f ca="1" t="shared" si="5"/>
        <v>25</v>
      </c>
    </row>
    <row r="28" spans="1:5">
      <c r="A28" t="s">
        <v>59</v>
      </c>
      <c r="B28" t="s">
        <v>64</v>
      </c>
      <c r="C28" t="s">
        <v>89</v>
      </c>
      <c r="D28">
        <f ca="1" t="shared" si="4"/>
        <v>62977</v>
      </c>
      <c r="E28">
        <f ca="1" t="shared" si="5"/>
        <v>48</v>
      </c>
    </row>
    <row r="29" spans="1:5">
      <c r="A29" t="s">
        <v>63</v>
      </c>
      <c r="B29" t="s">
        <v>52</v>
      </c>
      <c r="C29" t="s">
        <v>90</v>
      </c>
      <c r="D29">
        <f ca="1" t="shared" si="4"/>
        <v>37180</v>
      </c>
      <c r="E29">
        <f ca="1" t="shared" si="5"/>
        <v>40</v>
      </c>
    </row>
    <row r="30" spans="1:5">
      <c r="A30" t="s">
        <v>66</v>
      </c>
      <c r="B30" t="s">
        <v>57</v>
      </c>
      <c r="C30" t="s">
        <v>91</v>
      </c>
      <c r="D30">
        <f ca="1" t="shared" si="4"/>
        <v>65701</v>
      </c>
      <c r="E30">
        <f ca="1" t="shared" si="5"/>
        <v>54</v>
      </c>
    </row>
    <row r="31" spans="1:5">
      <c r="A31" t="s">
        <v>59</v>
      </c>
      <c r="B31" t="s">
        <v>52</v>
      </c>
      <c r="C31" t="s">
        <v>92</v>
      </c>
      <c r="D31">
        <f ca="1" t="shared" si="4"/>
        <v>44232</v>
      </c>
      <c r="E31">
        <f ca="1" t="shared" si="5"/>
        <v>48</v>
      </c>
    </row>
    <row r="32" spans="1:5">
      <c r="A32" t="s">
        <v>63</v>
      </c>
      <c r="B32" t="s">
        <v>57</v>
      </c>
      <c r="C32" t="s">
        <v>93</v>
      </c>
      <c r="D32">
        <f ca="1" t="shared" si="4"/>
        <v>26731</v>
      </c>
      <c r="E32">
        <f ca="1" t="shared" si="5"/>
        <v>32</v>
      </c>
    </row>
    <row r="33" spans="1:5">
      <c r="A33" t="s">
        <v>66</v>
      </c>
      <c r="B33" t="s">
        <v>60</v>
      </c>
      <c r="C33" t="s">
        <v>94</v>
      </c>
      <c r="D33">
        <f ca="1" t="shared" ref="D33:D42" si="6">RANDBETWEEN(20000,70000)</f>
        <v>48562</v>
      </c>
      <c r="E33">
        <f ca="1" t="shared" ref="E33:E42" si="7">RANDBETWEEN(25,60)</f>
        <v>26</v>
      </c>
    </row>
    <row r="34" spans="1:5">
      <c r="A34" t="s">
        <v>59</v>
      </c>
      <c r="B34" t="s">
        <v>64</v>
      </c>
      <c r="C34" t="s">
        <v>95</v>
      </c>
      <c r="D34">
        <f ca="1" t="shared" si="6"/>
        <v>67441</v>
      </c>
      <c r="E34">
        <f ca="1" t="shared" si="7"/>
        <v>31</v>
      </c>
    </row>
    <row r="35" spans="1:5">
      <c r="A35" t="s">
        <v>56</v>
      </c>
      <c r="B35" t="s">
        <v>67</v>
      </c>
      <c r="C35" t="s">
        <v>96</v>
      </c>
      <c r="D35">
        <f ca="1" t="shared" si="6"/>
        <v>65130</v>
      </c>
      <c r="E35">
        <f ca="1" t="shared" si="7"/>
        <v>40</v>
      </c>
    </row>
    <row r="36" spans="1:5">
      <c r="A36" t="s">
        <v>59</v>
      </c>
      <c r="B36" t="s">
        <v>57</v>
      </c>
      <c r="C36" t="s">
        <v>97</v>
      </c>
      <c r="D36">
        <f ca="1" t="shared" si="6"/>
        <v>49324</v>
      </c>
      <c r="E36">
        <f ca="1" t="shared" si="7"/>
        <v>42</v>
      </c>
    </row>
    <row r="37" spans="1:5">
      <c r="A37" t="s">
        <v>63</v>
      </c>
      <c r="B37" t="s">
        <v>60</v>
      </c>
      <c r="C37" t="s">
        <v>98</v>
      </c>
      <c r="D37">
        <f ca="1" t="shared" si="6"/>
        <v>52234</v>
      </c>
      <c r="E37">
        <f ca="1" t="shared" si="7"/>
        <v>49</v>
      </c>
    </row>
    <row r="38" spans="1:5">
      <c r="A38" t="s">
        <v>66</v>
      </c>
      <c r="B38" t="s">
        <v>64</v>
      </c>
      <c r="C38" t="s">
        <v>99</v>
      </c>
      <c r="D38">
        <f ca="1" t="shared" si="6"/>
        <v>44914</v>
      </c>
      <c r="E38">
        <f ca="1" t="shared" si="7"/>
        <v>35</v>
      </c>
    </row>
    <row r="39" spans="1:5">
      <c r="A39" t="s">
        <v>59</v>
      </c>
      <c r="B39" t="s">
        <v>67</v>
      </c>
      <c r="C39" t="s">
        <v>100</v>
      </c>
      <c r="D39">
        <f ca="1" t="shared" si="6"/>
        <v>38447</v>
      </c>
      <c r="E39">
        <f ca="1" t="shared" si="7"/>
        <v>25</v>
      </c>
    </row>
    <row r="40" spans="1:5">
      <c r="A40" t="s">
        <v>63</v>
      </c>
      <c r="B40" t="s">
        <v>52</v>
      </c>
      <c r="C40" t="s">
        <v>101</v>
      </c>
      <c r="D40">
        <f ca="1" t="shared" si="6"/>
        <v>60884</v>
      </c>
      <c r="E40">
        <f ca="1" t="shared" si="7"/>
        <v>60</v>
      </c>
    </row>
    <row r="41" spans="1:5">
      <c r="A41" t="s">
        <v>56</v>
      </c>
      <c r="B41" t="s">
        <v>57</v>
      </c>
      <c r="C41" t="s">
        <v>102</v>
      </c>
      <c r="D41">
        <f ca="1" t="shared" si="6"/>
        <v>66467</v>
      </c>
      <c r="E41">
        <f ca="1" t="shared" si="7"/>
        <v>32</v>
      </c>
    </row>
    <row r="42" spans="1:5">
      <c r="A42" t="s">
        <v>59</v>
      </c>
      <c r="B42" t="s">
        <v>52</v>
      </c>
      <c r="C42" t="s">
        <v>103</v>
      </c>
      <c r="D42">
        <f ca="1" t="shared" si="6"/>
        <v>26451</v>
      </c>
      <c r="E42">
        <f ca="1" t="shared" si="7"/>
        <v>54</v>
      </c>
    </row>
    <row r="43" spans="1:5">
      <c r="A43" t="s">
        <v>63</v>
      </c>
      <c r="B43" t="s">
        <v>57</v>
      </c>
      <c r="C43" t="s">
        <v>104</v>
      </c>
      <c r="D43">
        <f ca="1" t="shared" ref="D43:D51" si="8">RANDBETWEEN(20000,70000)</f>
        <v>52013</v>
      </c>
      <c r="E43">
        <f ca="1" t="shared" ref="E43:E51" si="9">RANDBETWEEN(25,60)</f>
        <v>37</v>
      </c>
    </row>
    <row r="44" spans="1:5">
      <c r="A44" t="s">
        <v>66</v>
      </c>
      <c r="B44" t="s">
        <v>60</v>
      </c>
      <c r="C44" t="s">
        <v>105</v>
      </c>
      <c r="D44">
        <f ca="1" t="shared" si="8"/>
        <v>47661</v>
      </c>
      <c r="E44">
        <f ca="1" t="shared" si="9"/>
        <v>57</v>
      </c>
    </row>
    <row r="45" spans="1:5">
      <c r="A45" t="s">
        <v>59</v>
      </c>
      <c r="B45" t="s">
        <v>64</v>
      </c>
      <c r="C45" t="s">
        <v>106</v>
      </c>
      <c r="D45">
        <f ca="1" t="shared" si="8"/>
        <v>28091</v>
      </c>
      <c r="E45">
        <f ca="1" t="shared" si="9"/>
        <v>60</v>
      </c>
    </row>
    <row r="46" spans="1:5">
      <c r="A46" t="s">
        <v>63</v>
      </c>
      <c r="B46" t="s">
        <v>52</v>
      </c>
      <c r="C46" t="s">
        <v>107</v>
      </c>
      <c r="D46">
        <f ca="1" t="shared" si="8"/>
        <v>60641</v>
      </c>
      <c r="E46">
        <f ca="1" t="shared" si="9"/>
        <v>27</v>
      </c>
    </row>
    <row r="47" spans="1:5">
      <c r="A47" t="s">
        <v>56</v>
      </c>
      <c r="B47" t="s">
        <v>57</v>
      </c>
      <c r="C47" t="s">
        <v>108</v>
      </c>
      <c r="D47">
        <f ca="1" t="shared" si="8"/>
        <v>39339</v>
      </c>
      <c r="E47">
        <f ca="1" t="shared" si="9"/>
        <v>60</v>
      </c>
    </row>
    <row r="48" spans="1:5">
      <c r="A48" t="s">
        <v>59</v>
      </c>
      <c r="B48" t="s">
        <v>52</v>
      </c>
      <c r="C48" t="s">
        <v>109</v>
      </c>
      <c r="D48">
        <f ca="1" t="shared" si="8"/>
        <v>38795</v>
      </c>
      <c r="E48">
        <f ca="1" t="shared" si="9"/>
        <v>51</v>
      </c>
    </row>
    <row r="49" spans="1:5">
      <c r="A49" t="s">
        <v>63</v>
      </c>
      <c r="B49" t="s">
        <v>57</v>
      </c>
      <c r="C49" t="s">
        <v>110</v>
      </c>
      <c r="D49">
        <f ca="1" t="shared" si="8"/>
        <v>64443</v>
      </c>
      <c r="E49">
        <f ca="1" t="shared" si="9"/>
        <v>31</v>
      </c>
    </row>
    <row r="50" spans="1:5">
      <c r="A50" t="s">
        <v>66</v>
      </c>
      <c r="B50" t="s">
        <v>60</v>
      </c>
      <c r="C50" t="s">
        <v>111</v>
      </c>
      <c r="D50">
        <f ca="1" t="shared" si="8"/>
        <v>51606</v>
      </c>
      <c r="E50">
        <f ca="1" t="shared" si="9"/>
        <v>51</v>
      </c>
    </row>
    <row r="51" spans="1:5">
      <c r="A51" t="s">
        <v>66</v>
      </c>
      <c r="B51" t="s">
        <v>60</v>
      </c>
      <c r="C51" t="s">
        <v>112</v>
      </c>
      <c r="D51">
        <f ca="1" t="shared" si="8"/>
        <v>64758</v>
      </c>
      <c r="E51">
        <f ca="1" t="shared" si="9"/>
        <v>40</v>
      </c>
    </row>
  </sheetData>
  <dataValidations count="1">
    <dataValidation type="list" allowBlank="1" showInputMessage="1" showErrorMessage="1" sqref="I2">
      <formula1>$C$2:$C$51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O7" sqref="O7"/>
    </sheetView>
  </sheetViews>
  <sheetFormatPr defaultColWidth="8.72727272727273" defaultRowHeight="14.5"/>
  <sheetData>
    <row r="1" spans="1:12">
      <c r="A1" s="2" t="s">
        <v>46</v>
      </c>
      <c r="B1" s="2" t="s">
        <v>47</v>
      </c>
      <c r="C1" s="2" t="s">
        <v>54</v>
      </c>
      <c r="D1" s="2" t="s">
        <v>49</v>
      </c>
      <c r="E1" s="2" t="s">
        <v>50</v>
      </c>
      <c r="I1" s="4" t="s">
        <v>113</v>
      </c>
      <c r="J1" s="5"/>
      <c r="K1" s="5"/>
      <c r="L1" s="5"/>
    </row>
    <row r="2" spans="1:10">
      <c r="A2" s="3" t="str">
        <f ca="1">CHOOSE(RANDBETWEEN(1,5),"Hyd","Che","Bvrm","Pune","Goa")</f>
        <v>Pune</v>
      </c>
      <c r="B2" s="3" t="str">
        <f ca="1">CHOOSE(RANDBETWEEN(1,4),"Sales","HR","Admin","IT")</f>
        <v>Admin</v>
      </c>
      <c r="C2" s="3" t="s">
        <v>114</v>
      </c>
      <c r="D2" s="3">
        <f ca="1">RANDBETWEEN(20000,90000)</f>
        <v>33089</v>
      </c>
      <c r="E2" s="3">
        <f ca="1">RANDBETWEEN(25,50)</f>
        <v>38</v>
      </c>
      <c r="I2" s="6" t="s">
        <v>54</v>
      </c>
      <c r="J2" t="s">
        <v>114</v>
      </c>
    </row>
    <row r="3" spans="1:5">
      <c r="A3" s="3" t="str">
        <f ca="1" t="shared" ref="A3:A12" si="0">CHOOSE(RANDBETWEEN(1,5),"Hyd","Che","Bvrm","Pune","Goa")</f>
        <v>Hyd</v>
      </c>
      <c r="B3" s="3" t="str">
        <f ca="1" t="shared" ref="B3:B12" si="1">CHOOSE(RANDBETWEEN(1,4),"Sales","HR","Admin","IT")</f>
        <v>HR</v>
      </c>
      <c r="C3" s="3" t="s">
        <v>115</v>
      </c>
      <c r="D3" s="3">
        <f ca="1" t="shared" ref="D3:D12" si="2">RANDBETWEEN(20000,90000)</f>
        <v>40899</v>
      </c>
      <c r="E3" s="3">
        <f ca="1" t="shared" ref="E3:E12" si="3">RANDBETWEEN(25,50)</f>
        <v>46</v>
      </c>
    </row>
    <row r="4" spans="1:13">
      <c r="A4" s="3" t="str">
        <f ca="1" t="shared" si="0"/>
        <v>Goa</v>
      </c>
      <c r="B4" s="3" t="str">
        <f ca="1" t="shared" si="1"/>
        <v>IT</v>
      </c>
      <c r="C4" s="3" t="s">
        <v>116</v>
      </c>
      <c r="D4" s="3">
        <f ca="1" t="shared" si="2"/>
        <v>87785</v>
      </c>
      <c r="E4" s="3">
        <f ca="1" t="shared" si="3"/>
        <v>36</v>
      </c>
      <c r="I4" s="7" t="s">
        <v>46</v>
      </c>
      <c r="J4" s="8" t="str" cm="1">
        <f ca="1" t="array" ref="J4">INDEX(A2:E51,MATCH(J2,$C$2:$C$51,0),1)</f>
        <v>Pune</v>
      </c>
      <c r="L4" s="9" t="s">
        <v>46</v>
      </c>
      <c r="M4" s="10" t="str">
        <f ca="1">LOOKUP(J2,C2:C51,A2:A51)</f>
        <v>Pune</v>
      </c>
    </row>
    <row r="5" spans="1:13">
      <c r="A5" s="3" t="str">
        <f ca="1" t="shared" si="0"/>
        <v>Bvrm</v>
      </c>
      <c r="B5" s="3" t="str">
        <f ca="1" t="shared" si="1"/>
        <v>Sales</v>
      </c>
      <c r="C5" s="3" t="s">
        <v>117</v>
      </c>
      <c r="D5" s="3">
        <f ca="1" t="shared" si="2"/>
        <v>39191</v>
      </c>
      <c r="E5" s="3">
        <f ca="1" t="shared" si="3"/>
        <v>29</v>
      </c>
      <c r="I5" s="7" t="s">
        <v>47</v>
      </c>
      <c r="J5" s="8" t="str" cm="1">
        <f ca="1" t="array" ref="J5">INDEX(A2:E51,MATCH(J2,$C$2:$C$51,0),2)</f>
        <v>Admin</v>
      </c>
      <c r="L5" s="9" t="s">
        <v>47</v>
      </c>
      <c r="M5" s="8" t="str">
        <f ca="1">LOOKUP(J2,C2:C51,B2:B51)</f>
        <v>Admin</v>
      </c>
    </row>
    <row r="6" spans="1:13">
      <c r="A6" s="3" t="str">
        <f ca="1" t="shared" si="0"/>
        <v>Che</v>
      </c>
      <c r="B6" s="3" t="str">
        <f ca="1" t="shared" si="1"/>
        <v>HR</v>
      </c>
      <c r="C6" s="3" t="s">
        <v>118</v>
      </c>
      <c r="D6" s="3">
        <f ca="1" t="shared" si="2"/>
        <v>53453</v>
      </c>
      <c r="E6" s="3">
        <f ca="1" t="shared" si="3"/>
        <v>27</v>
      </c>
      <c r="I6" s="7" t="s">
        <v>49</v>
      </c>
      <c r="J6" s="8" cm="1">
        <f ca="1" t="array" ref="J6">INDEX(A2:E51,MATCH(J2,$C$2:$C$51,0),4)</f>
        <v>33089</v>
      </c>
      <c r="L6" s="9" t="s">
        <v>49</v>
      </c>
      <c r="M6" s="8">
        <f ca="1">LOOKUP(J2,C2:C51,D2:D51)</f>
        <v>33089</v>
      </c>
    </row>
    <row r="7" spans="1:13">
      <c r="A7" s="3" t="str">
        <f ca="1" t="shared" si="0"/>
        <v>Goa</v>
      </c>
      <c r="B7" s="3" t="str">
        <f ca="1" t="shared" si="1"/>
        <v>Admin</v>
      </c>
      <c r="C7" s="3" t="s">
        <v>119</v>
      </c>
      <c r="D7" s="3">
        <f ca="1" t="shared" si="2"/>
        <v>69660</v>
      </c>
      <c r="E7" s="3">
        <f ca="1" t="shared" si="3"/>
        <v>50</v>
      </c>
      <c r="I7" s="7" t="s">
        <v>50</v>
      </c>
      <c r="J7" s="8" cm="1">
        <f ca="1" t="array" ref="J7">INDEX(A2:E51,MATCH(J2,$C$2:$C$51,0),5)</f>
        <v>38</v>
      </c>
      <c r="L7" s="9" t="s">
        <v>50</v>
      </c>
      <c r="M7" s="8">
        <f ca="1">LOOKUP(J2,C2:C51,E2:E51)</f>
        <v>38</v>
      </c>
    </row>
    <row r="8" spans="1:5">
      <c r="A8" s="3" t="str">
        <f ca="1" t="shared" si="0"/>
        <v>Bvrm</v>
      </c>
      <c r="B8" s="3" t="str">
        <f ca="1" t="shared" si="1"/>
        <v>IT</v>
      </c>
      <c r="C8" s="3" t="s">
        <v>120</v>
      </c>
      <c r="D8" s="3">
        <f ca="1" t="shared" si="2"/>
        <v>51573</v>
      </c>
      <c r="E8" s="3">
        <f ca="1" t="shared" si="3"/>
        <v>48</v>
      </c>
    </row>
    <row r="9" spans="1:5">
      <c r="A9" s="3" t="str">
        <f ca="1" t="shared" si="0"/>
        <v>Hyd</v>
      </c>
      <c r="B9" s="3" t="str">
        <f ca="1" t="shared" si="1"/>
        <v>HR</v>
      </c>
      <c r="C9" s="3" t="s">
        <v>121</v>
      </c>
      <c r="D9" s="3">
        <f ca="1" t="shared" si="2"/>
        <v>29769</v>
      </c>
      <c r="E9" s="3">
        <f ca="1" t="shared" si="3"/>
        <v>43</v>
      </c>
    </row>
    <row r="10" spans="1:5">
      <c r="A10" s="3" t="str">
        <f ca="1" t="shared" si="0"/>
        <v>Hyd</v>
      </c>
      <c r="B10" s="3" t="str">
        <f ca="1" t="shared" si="1"/>
        <v>Sales</v>
      </c>
      <c r="C10" s="3" t="s">
        <v>122</v>
      </c>
      <c r="D10" s="3">
        <f ca="1" t="shared" si="2"/>
        <v>58995</v>
      </c>
      <c r="E10" s="3">
        <f ca="1" t="shared" si="3"/>
        <v>31</v>
      </c>
    </row>
    <row r="11" spans="1:5">
      <c r="A11" s="3" t="str">
        <f ca="1" t="shared" si="0"/>
        <v>Bvrm</v>
      </c>
      <c r="B11" s="3" t="str">
        <f ca="1" t="shared" si="1"/>
        <v>IT</v>
      </c>
      <c r="C11" s="3" t="s">
        <v>123</v>
      </c>
      <c r="D11" s="3">
        <f ca="1" t="shared" si="2"/>
        <v>28244</v>
      </c>
      <c r="E11" s="3">
        <f ca="1" t="shared" si="3"/>
        <v>31</v>
      </c>
    </row>
    <row r="12" spans="1:5">
      <c r="A12" s="3" t="str">
        <f ca="1" t="shared" si="0"/>
        <v>Pune</v>
      </c>
      <c r="B12" s="3" t="str">
        <f ca="1" t="shared" si="1"/>
        <v>IT</v>
      </c>
      <c r="C12" s="3" t="s">
        <v>124</v>
      </c>
      <c r="D12" s="3">
        <f ca="1" t="shared" si="2"/>
        <v>73125</v>
      </c>
      <c r="E12" s="3">
        <f ca="1" t="shared" si="3"/>
        <v>26</v>
      </c>
    </row>
    <row r="13" spans="1:5">
      <c r="A13" s="3" t="str">
        <f ca="1" t="shared" ref="A13:A22" si="4">CHOOSE(RANDBETWEEN(1,5),"Hyd","Che","Bvrm","Pune","Goa")</f>
        <v>Hyd</v>
      </c>
      <c r="B13" s="3" t="str">
        <f ca="1" t="shared" ref="B13:B22" si="5">CHOOSE(RANDBETWEEN(1,4),"Sales","HR","Admin","IT")</f>
        <v>HR</v>
      </c>
      <c r="C13" s="3" t="s">
        <v>125</v>
      </c>
      <c r="D13" s="3">
        <f ca="1" t="shared" ref="D13:D22" si="6">RANDBETWEEN(20000,90000)</f>
        <v>53607</v>
      </c>
      <c r="E13" s="3">
        <f ca="1" t="shared" ref="E13:E22" si="7">RANDBETWEEN(25,50)</f>
        <v>48</v>
      </c>
    </row>
    <row r="14" spans="1:5">
      <c r="A14" s="3" t="str">
        <f ca="1" t="shared" si="4"/>
        <v>Goa</v>
      </c>
      <c r="B14" s="3" t="str">
        <f ca="1" t="shared" si="5"/>
        <v>HR</v>
      </c>
      <c r="C14" s="3" t="s">
        <v>126</v>
      </c>
      <c r="D14" s="3">
        <f ca="1" t="shared" si="6"/>
        <v>38625</v>
      </c>
      <c r="E14" s="3">
        <f ca="1" t="shared" si="7"/>
        <v>28</v>
      </c>
    </row>
    <row r="15" spans="1:5">
      <c r="A15" s="3" t="str">
        <f ca="1" t="shared" si="4"/>
        <v>Bvrm</v>
      </c>
      <c r="B15" s="3" t="str">
        <f ca="1" t="shared" si="5"/>
        <v>HR</v>
      </c>
      <c r="C15" s="3" t="s">
        <v>127</v>
      </c>
      <c r="D15" s="3">
        <f ca="1" t="shared" si="6"/>
        <v>88854</v>
      </c>
      <c r="E15" s="3">
        <f ca="1" t="shared" si="7"/>
        <v>26</v>
      </c>
    </row>
    <row r="16" spans="1:5">
      <c r="A16" s="3" t="str">
        <f ca="1" t="shared" si="4"/>
        <v>Che</v>
      </c>
      <c r="B16" s="3" t="str">
        <f ca="1" t="shared" si="5"/>
        <v>IT</v>
      </c>
      <c r="C16" s="3" t="s">
        <v>128</v>
      </c>
      <c r="D16" s="3">
        <f ca="1" t="shared" si="6"/>
        <v>84592</v>
      </c>
      <c r="E16" s="3">
        <f ca="1" t="shared" si="7"/>
        <v>33</v>
      </c>
    </row>
    <row r="17" spans="1:5">
      <c r="A17" s="3" t="str">
        <f ca="1" t="shared" si="4"/>
        <v>Bvrm</v>
      </c>
      <c r="B17" s="3" t="str">
        <f ca="1" t="shared" si="5"/>
        <v>HR</v>
      </c>
      <c r="C17" s="3" t="s">
        <v>129</v>
      </c>
      <c r="D17" s="3">
        <f ca="1" t="shared" si="6"/>
        <v>49759</v>
      </c>
      <c r="E17" s="3">
        <f ca="1" t="shared" si="7"/>
        <v>47</v>
      </c>
    </row>
    <row r="18" spans="1:5">
      <c r="A18" s="3" t="str">
        <f ca="1" t="shared" si="4"/>
        <v>Bvrm</v>
      </c>
      <c r="B18" s="3" t="str">
        <f ca="1" t="shared" si="5"/>
        <v>HR</v>
      </c>
      <c r="C18" s="3" t="s">
        <v>130</v>
      </c>
      <c r="D18" s="3">
        <f ca="1" t="shared" si="6"/>
        <v>55182</v>
      </c>
      <c r="E18" s="3">
        <f ca="1" t="shared" si="7"/>
        <v>28</v>
      </c>
    </row>
    <row r="19" spans="1:5">
      <c r="A19" s="3" t="str">
        <f ca="1" t="shared" si="4"/>
        <v>Goa</v>
      </c>
      <c r="B19" s="3" t="str">
        <f ca="1" t="shared" si="5"/>
        <v>Sales</v>
      </c>
      <c r="C19" s="3" t="s">
        <v>131</v>
      </c>
      <c r="D19" s="3">
        <f ca="1" t="shared" si="6"/>
        <v>39662</v>
      </c>
      <c r="E19" s="3">
        <f ca="1" t="shared" si="7"/>
        <v>25</v>
      </c>
    </row>
    <row r="20" spans="1:5">
      <c r="A20" s="3" t="str">
        <f ca="1" t="shared" si="4"/>
        <v>Pune</v>
      </c>
      <c r="B20" s="3" t="str">
        <f ca="1" t="shared" si="5"/>
        <v>Sales</v>
      </c>
      <c r="C20" s="3" t="s">
        <v>132</v>
      </c>
      <c r="D20" s="3">
        <f ca="1" t="shared" si="6"/>
        <v>45846</v>
      </c>
      <c r="E20" s="3">
        <f ca="1" t="shared" si="7"/>
        <v>49</v>
      </c>
    </row>
    <row r="21" spans="1:5">
      <c r="A21" s="3" t="str">
        <f ca="1" t="shared" si="4"/>
        <v>Che</v>
      </c>
      <c r="B21" s="3" t="str">
        <f ca="1" t="shared" si="5"/>
        <v>Admin</v>
      </c>
      <c r="C21" s="3" t="s">
        <v>133</v>
      </c>
      <c r="D21" s="3">
        <f ca="1" t="shared" si="6"/>
        <v>42380</v>
      </c>
      <c r="E21" s="3">
        <f ca="1" t="shared" si="7"/>
        <v>37</v>
      </c>
    </row>
    <row r="22" spans="1:5">
      <c r="A22" s="3" t="str">
        <f ca="1" t="shared" si="4"/>
        <v>Goa</v>
      </c>
      <c r="B22" s="3" t="str">
        <f ca="1" t="shared" si="5"/>
        <v>HR</v>
      </c>
      <c r="C22" s="3" t="s">
        <v>134</v>
      </c>
      <c r="D22" s="3">
        <f ca="1" t="shared" si="6"/>
        <v>48647</v>
      </c>
      <c r="E22" s="3">
        <f ca="1" t="shared" si="7"/>
        <v>31</v>
      </c>
    </row>
    <row r="23" spans="1:5">
      <c r="A23" s="3" t="str">
        <f ca="1" t="shared" ref="A23:A32" si="8">CHOOSE(RANDBETWEEN(1,5),"Hyd","Che","Bvrm","Pune","Goa")</f>
        <v>Hyd</v>
      </c>
      <c r="B23" s="3" t="str">
        <f ca="1" t="shared" ref="B23:B32" si="9">CHOOSE(RANDBETWEEN(1,4),"Sales","HR","Admin","IT")</f>
        <v>Sales</v>
      </c>
      <c r="C23" s="3" t="s">
        <v>135</v>
      </c>
      <c r="D23" s="3">
        <f ca="1" t="shared" ref="D23:D32" si="10">RANDBETWEEN(20000,90000)</f>
        <v>81382</v>
      </c>
      <c r="E23" s="3">
        <f ca="1" t="shared" ref="E23:E32" si="11">RANDBETWEEN(25,50)</f>
        <v>40</v>
      </c>
    </row>
    <row r="24" spans="1:5">
      <c r="A24" s="3" t="str">
        <f ca="1" t="shared" si="8"/>
        <v>Bvrm</v>
      </c>
      <c r="B24" s="3" t="str">
        <f ca="1" t="shared" si="9"/>
        <v>Admin</v>
      </c>
      <c r="C24" s="3" t="s">
        <v>136</v>
      </c>
      <c r="D24" s="3">
        <f ca="1" t="shared" si="10"/>
        <v>69218</v>
      </c>
      <c r="E24" s="3">
        <f ca="1" t="shared" si="11"/>
        <v>36</v>
      </c>
    </row>
    <row r="25" spans="1:5">
      <c r="A25" s="3" t="str">
        <f ca="1" t="shared" si="8"/>
        <v>Bvrm</v>
      </c>
      <c r="B25" s="3" t="str">
        <f ca="1" t="shared" si="9"/>
        <v>IT</v>
      </c>
      <c r="C25" s="3" t="s">
        <v>137</v>
      </c>
      <c r="D25" s="3">
        <f ca="1" t="shared" si="10"/>
        <v>35125</v>
      </c>
      <c r="E25" s="3">
        <f ca="1" t="shared" si="11"/>
        <v>28</v>
      </c>
    </row>
    <row r="26" spans="1:5">
      <c r="A26" s="3" t="str">
        <f ca="1" t="shared" si="8"/>
        <v>Bvrm</v>
      </c>
      <c r="B26" s="3" t="str">
        <f ca="1" t="shared" si="9"/>
        <v>Sales</v>
      </c>
      <c r="C26" s="3" t="s">
        <v>138</v>
      </c>
      <c r="D26" s="3">
        <f ca="1" t="shared" si="10"/>
        <v>86551</v>
      </c>
      <c r="E26" s="3">
        <f ca="1" t="shared" si="11"/>
        <v>44</v>
      </c>
    </row>
    <row r="27" spans="1:5">
      <c r="A27" s="3" t="str">
        <f ca="1" t="shared" si="8"/>
        <v>Hyd</v>
      </c>
      <c r="B27" s="3" t="str">
        <f ca="1" t="shared" si="9"/>
        <v>Admin</v>
      </c>
      <c r="C27" s="3" t="s">
        <v>139</v>
      </c>
      <c r="D27" s="3">
        <f ca="1" t="shared" si="10"/>
        <v>48172</v>
      </c>
      <c r="E27" s="3">
        <f ca="1" t="shared" si="11"/>
        <v>40</v>
      </c>
    </row>
    <row r="28" spans="1:5">
      <c r="A28" s="3" t="str">
        <f ca="1" t="shared" si="8"/>
        <v>Pune</v>
      </c>
      <c r="B28" s="3" t="str">
        <f ca="1" t="shared" si="9"/>
        <v>IT</v>
      </c>
      <c r="C28" s="3" t="s">
        <v>140</v>
      </c>
      <c r="D28" s="3">
        <f ca="1" t="shared" si="10"/>
        <v>39996</v>
      </c>
      <c r="E28" s="3">
        <f ca="1" t="shared" si="11"/>
        <v>34</v>
      </c>
    </row>
    <row r="29" spans="1:5">
      <c r="A29" s="3" t="str">
        <f ca="1" t="shared" si="8"/>
        <v>Bvrm</v>
      </c>
      <c r="B29" s="3" t="str">
        <f ca="1" t="shared" si="9"/>
        <v>Sales</v>
      </c>
      <c r="C29" s="3" t="s">
        <v>141</v>
      </c>
      <c r="D29" s="3">
        <f ca="1" t="shared" si="10"/>
        <v>47075</v>
      </c>
      <c r="E29" s="3">
        <f ca="1" t="shared" si="11"/>
        <v>29</v>
      </c>
    </row>
    <row r="30" spans="1:5">
      <c r="A30" s="3" t="str">
        <f ca="1" t="shared" si="8"/>
        <v>Bvrm</v>
      </c>
      <c r="B30" s="3" t="str">
        <f ca="1" t="shared" si="9"/>
        <v>Sales</v>
      </c>
      <c r="C30" s="3" t="s">
        <v>142</v>
      </c>
      <c r="D30" s="3">
        <f ca="1" t="shared" si="10"/>
        <v>58006</v>
      </c>
      <c r="E30" s="3">
        <f ca="1" t="shared" si="11"/>
        <v>38</v>
      </c>
    </row>
    <row r="31" spans="1:5">
      <c r="A31" s="3" t="str">
        <f ca="1" t="shared" si="8"/>
        <v>Bvrm</v>
      </c>
      <c r="B31" s="3" t="str">
        <f ca="1" t="shared" si="9"/>
        <v>Admin</v>
      </c>
      <c r="C31" s="3" t="s">
        <v>143</v>
      </c>
      <c r="D31" s="3">
        <f ca="1" t="shared" si="10"/>
        <v>36994</v>
      </c>
      <c r="E31" s="3">
        <f ca="1" t="shared" si="11"/>
        <v>38</v>
      </c>
    </row>
    <row r="32" spans="1:5">
      <c r="A32" s="3" t="str">
        <f ca="1" t="shared" si="8"/>
        <v>Pune</v>
      </c>
      <c r="B32" s="3" t="str">
        <f ca="1" t="shared" si="9"/>
        <v>Sales</v>
      </c>
      <c r="C32" s="3" t="s">
        <v>144</v>
      </c>
      <c r="D32" s="3">
        <f ca="1" t="shared" si="10"/>
        <v>85089</v>
      </c>
      <c r="E32" s="3">
        <f ca="1" t="shared" si="11"/>
        <v>34</v>
      </c>
    </row>
    <row r="33" spans="1:5">
      <c r="A33" s="3" t="str">
        <f ca="1" t="shared" ref="A33:A42" si="12">CHOOSE(RANDBETWEEN(1,5),"Hyd","Che","Bvrm","Pune","Goa")</f>
        <v>Che</v>
      </c>
      <c r="B33" s="3" t="str">
        <f ca="1" t="shared" ref="B33:B42" si="13">CHOOSE(RANDBETWEEN(1,4),"Sales","HR","Admin","IT")</f>
        <v>IT</v>
      </c>
      <c r="C33" s="3" t="s">
        <v>145</v>
      </c>
      <c r="D33" s="3">
        <f ca="1" t="shared" ref="D33:D42" si="14">RANDBETWEEN(20000,90000)</f>
        <v>73406</v>
      </c>
      <c r="E33" s="3">
        <f ca="1" t="shared" ref="E33:E42" si="15">RANDBETWEEN(25,50)</f>
        <v>30</v>
      </c>
    </row>
    <row r="34" spans="1:5">
      <c r="A34" s="3" t="str">
        <f ca="1" t="shared" si="12"/>
        <v>Goa</v>
      </c>
      <c r="B34" s="3" t="str">
        <f ca="1" t="shared" si="13"/>
        <v>Sales</v>
      </c>
      <c r="C34" s="3" t="s">
        <v>146</v>
      </c>
      <c r="D34" s="3">
        <f ca="1" t="shared" si="14"/>
        <v>38772</v>
      </c>
      <c r="E34" s="3">
        <f ca="1" t="shared" si="15"/>
        <v>43</v>
      </c>
    </row>
    <row r="35" spans="1:5">
      <c r="A35" s="3" t="str">
        <f ca="1" t="shared" si="12"/>
        <v>Pune</v>
      </c>
      <c r="B35" s="3" t="str">
        <f ca="1" t="shared" si="13"/>
        <v>HR</v>
      </c>
      <c r="C35" s="3" t="s">
        <v>147</v>
      </c>
      <c r="D35" s="3">
        <f ca="1" t="shared" si="14"/>
        <v>87893</v>
      </c>
      <c r="E35" s="3">
        <f ca="1" t="shared" si="15"/>
        <v>29</v>
      </c>
    </row>
    <row r="36" spans="1:5">
      <c r="A36" s="3" t="str">
        <f ca="1" t="shared" si="12"/>
        <v>Goa</v>
      </c>
      <c r="B36" s="3" t="str">
        <f ca="1" t="shared" si="13"/>
        <v>Sales</v>
      </c>
      <c r="C36" s="3" t="s">
        <v>148</v>
      </c>
      <c r="D36" s="3">
        <f ca="1" t="shared" si="14"/>
        <v>74605</v>
      </c>
      <c r="E36" s="3">
        <f ca="1" t="shared" si="15"/>
        <v>25</v>
      </c>
    </row>
    <row r="37" spans="1:5">
      <c r="A37" s="3" t="str">
        <f ca="1" t="shared" si="12"/>
        <v>Hyd</v>
      </c>
      <c r="B37" s="3" t="str">
        <f ca="1" t="shared" si="13"/>
        <v>HR</v>
      </c>
      <c r="C37" s="3" t="s">
        <v>149</v>
      </c>
      <c r="D37" s="3">
        <f ca="1" t="shared" si="14"/>
        <v>57031</v>
      </c>
      <c r="E37" s="3">
        <f ca="1" t="shared" si="15"/>
        <v>36</v>
      </c>
    </row>
    <row r="38" spans="1:5">
      <c r="A38" s="3" t="str">
        <f ca="1" t="shared" si="12"/>
        <v>Bvrm</v>
      </c>
      <c r="B38" s="3" t="str">
        <f ca="1" t="shared" si="13"/>
        <v>Sales</v>
      </c>
      <c r="C38" s="3" t="s">
        <v>150</v>
      </c>
      <c r="D38" s="3">
        <f ca="1" t="shared" si="14"/>
        <v>47887</v>
      </c>
      <c r="E38" s="3">
        <f ca="1" t="shared" si="15"/>
        <v>35</v>
      </c>
    </row>
    <row r="39" spans="1:5">
      <c r="A39" s="3" t="str">
        <f ca="1" t="shared" si="12"/>
        <v>Hyd</v>
      </c>
      <c r="B39" s="3" t="str">
        <f ca="1" t="shared" si="13"/>
        <v>Admin</v>
      </c>
      <c r="C39" s="3" t="s">
        <v>151</v>
      </c>
      <c r="D39" s="3">
        <f ca="1" t="shared" si="14"/>
        <v>70233</v>
      </c>
      <c r="E39" s="3">
        <f ca="1" t="shared" si="15"/>
        <v>46</v>
      </c>
    </row>
    <row r="40" spans="1:5">
      <c r="A40" s="3" t="str">
        <f ca="1" t="shared" si="12"/>
        <v>Goa</v>
      </c>
      <c r="B40" s="3" t="str">
        <f ca="1" t="shared" si="13"/>
        <v>Sales</v>
      </c>
      <c r="C40" s="3" t="s">
        <v>152</v>
      </c>
      <c r="D40" s="3">
        <f ca="1" t="shared" si="14"/>
        <v>89641</v>
      </c>
      <c r="E40" s="3">
        <f ca="1" t="shared" si="15"/>
        <v>26</v>
      </c>
    </row>
    <row r="41" spans="1:5">
      <c r="A41" s="3" t="str">
        <f ca="1" t="shared" si="12"/>
        <v>Hyd</v>
      </c>
      <c r="B41" s="3" t="str">
        <f ca="1" t="shared" si="13"/>
        <v>Admin</v>
      </c>
      <c r="C41" s="3" t="s">
        <v>153</v>
      </c>
      <c r="D41" s="3">
        <f ca="1" t="shared" si="14"/>
        <v>79866</v>
      </c>
      <c r="E41" s="3">
        <f ca="1" t="shared" si="15"/>
        <v>49</v>
      </c>
    </row>
    <row r="42" spans="1:5">
      <c r="A42" s="3" t="str">
        <f ca="1" t="shared" si="12"/>
        <v>Bvrm</v>
      </c>
      <c r="B42" s="3" t="str">
        <f ca="1" t="shared" si="13"/>
        <v>HR</v>
      </c>
      <c r="C42" s="3" t="s">
        <v>154</v>
      </c>
      <c r="D42" s="3">
        <f ca="1" t="shared" si="14"/>
        <v>72278</v>
      </c>
      <c r="E42" s="3">
        <f ca="1" t="shared" si="15"/>
        <v>43</v>
      </c>
    </row>
    <row r="43" spans="1:5">
      <c r="A43" s="3" t="str">
        <f ca="1" t="shared" ref="A43:A51" si="16">CHOOSE(RANDBETWEEN(1,5),"Hyd","Che","Bvrm","Pune","Goa")</f>
        <v>Che</v>
      </c>
      <c r="B43" s="3" t="str">
        <f ca="1" t="shared" ref="B43:B51" si="17">CHOOSE(RANDBETWEEN(1,4),"Sales","HR","Admin","IT")</f>
        <v>IT</v>
      </c>
      <c r="C43" s="3" t="s">
        <v>155</v>
      </c>
      <c r="D43" s="3">
        <f ca="1" t="shared" ref="D43:D51" si="18">RANDBETWEEN(20000,90000)</f>
        <v>64117</v>
      </c>
      <c r="E43" s="3">
        <f ca="1" t="shared" ref="E43:E51" si="19">RANDBETWEEN(25,50)</f>
        <v>26</v>
      </c>
    </row>
    <row r="44" spans="1:5">
      <c r="A44" s="3" t="str">
        <f ca="1" t="shared" si="16"/>
        <v>Hyd</v>
      </c>
      <c r="B44" s="3" t="str">
        <f ca="1" t="shared" si="17"/>
        <v>HR</v>
      </c>
      <c r="C44" s="3" t="s">
        <v>156</v>
      </c>
      <c r="D44" s="3">
        <f ca="1" t="shared" si="18"/>
        <v>73411</v>
      </c>
      <c r="E44" s="3">
        <f ca="1" t="shared" si="19"/>
        <v>43</v>
      </c>
    </row>
    <row r="45" spans="1:5">
      <c r="A45" s="3" t="str">
        <f ca="1" t="shared" si="16"/>
        <v>Hyd</v>
      </c>
      <c r="B45" s="3" t="str">
        <f ca="1" t="shared" si="17"/>
        <v>Sales</v>
      </c>
      <c r="C45" s="3" t="s">
        <v>157</v>
      </c>
      <c r="D45" s="3">
        <f ca="1" t="shared" si="18"/>
        <v>83441</v>
      </c>
      <c r="E45" s="3">
        <f ca="1" t="shared" si="19"/>
        <v>39</v>
      </c>
    </row>
    <row r="46" spans="1:5">
      <c r="A46" s="3" t="str">
        <f ca="1" t="shared" si="16"/>
        <v>Che</v>
      </c>
      <c r="B46" s="3" t="str">
        <f ca="1" t="shared" si="17"/>
        <v>Admin</v>
      </c>
      <c r="C46" s="3" t="s">
        <v>158</v>
      </c>
      <c r="D46" s="3">
        <f ca="1" t="shared" si="18"/>
        <v>67903</v>
      </c>
      <c r="E46" s="3">
        <f ca="1" t="shared" si="19"/>
        <v>50</v>
      </c>
    </row>
    <row r="47" spans="1:5">
      <c r="A47" s="3" t="str">
        <f ca="1" t="shared" si="16"/>
        <v>Goa</v>
      </c>
      <c r="B47" s="3" t="str">
        <f ca="1" t="shared" si="17"/>
        <v>HR</v>
      </c>
      <c r="C47" s="3" t="s">
        <v>159</v>
      </c>
      <c r="D47" s="3">
        <f ca="1" t="shared" si="18"/>
        <v>52682</v>
      </c>
      <c r="E47" s="3">
        <f ca="1" t="shared" si="19"/>
        <v>45</v>
      </c>
    </row>
    <row r="48" spans="1:5">
      <c r="A48" s="3" t="str">
        <f ca="1" t="shared" si="16"/>
        <v>Hyd</v>
      </c>
      <c r="B48" s="3" t="str">
        <f ca="1" t="shared" si="17"/>
        <v>HR</v>
      </c>
      <c r="C48" s="3" t="s">
        <v>160</v>
      </c>
      <c r="D48" s="3">
        <f ca="1" t="shared" si="18"/>
        <v>88541</v>
      </c>
      <c r="E48" s="3">
        <f ca="1" t="shared" si="19"/>
        <v>40</v>
      </c>
    </row>
    <row r="49" spans="1:5">
      <c r="A49" s="3" t="str">
        <f ca="1" t="shared" si="16"/>
        <v>Hyd</v>
      </c>
      <c r="B49" s="3" t="str">
        <f ca="1" t="shared" si="17"/>
        <v>IT</v>
      </c>
      <c r="C49" s="3" t="s">
        <v>161</v>
      </c>
      <c r="D49" s="3">
        <f ca="1" t="shared" si="18"/>
        <v>86339</v>
      </c>
      <c r="E49" s="3">
        <f ca="1" t="shared" si="19"/>
        <v>31</v>
      </c>
    </row>
    <row r="50" spans="1:5">
      <c r="A50" s="3" t="str">
        <f ca="1" t="shared" si="16"/>
        <v>Che</v>
      </c>
      <c r="B50" s="3" t="str">
        <f ca="1" t="shared" si="17"/>
        <v>Sales</v>
      </c>
      <c r="C50" s="3" t="s">
        <v>162</v>
      </c>
      <c r="D50" s="3">
        <f ca="1" t="shared" si="18"/>
        <v>63100</v>
      </c>
      <c r="E50" s="3">
        <f ca="1" t="shared" si="19"/>
        <v>36</v>
      </c>
    </row>
    <row r="51" spans="1:5">
      <c r="A51" s="3" t="str">
        <f ca="1" t="shared" si="16"/>
        <v>Che</v>
      </c>
      <c r="B51" s="3" t="str">
        <f ca="1" t="shared" si="17"/>
        <v>HR</v>
      </c>
      <c r="C51" s="3" t="s">
        <v>163</v>
      </c>
      <c r="D51" s="3">
        <f ca="1" t="shared" si="18"/>
        <v>32567</v>
      </c>
      <c r="E51" s="3">
        <f ca="1" t="shared" si="19"/>
        <v>30</v>
      </c>
    </row>
  </sheetData>
  <mergeCells count="1">
    <mergeCell ref="I1:L1"/>
  </mergeCells>
  <dataValidations count="1">
    <dataValidation type="list" allowBlank="1" showInputMessage="1" showErrorMessage="1" sqref="J2">
      <formula1>$C$2:$C$51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G10" sqref="G10"/>
    </sheetView>
  </sheetViews>
  <sheetFormatPr defaultColWidth="8.72727272727273" defaultRowHeight="14.5"/>
  <cols>
    <col min="2" max="2" width="9.54545454545454"/>
  </cols>
  <sheetData>
    <row r="1" spans="1:6">
      <c r="A1" s="1" t="s">
        <v>164</v>
      </c>
      <c r="B1" s="1" t="s">
        <v>165</v>
      </c>
      <c r="D1" s="1" t="s">
        <v>164</v>
      </c>
      <c r="E1" s="1" t="s">
        <v>166</v>
      </c>
      <c r="F1" s="1" t="s">
        <v>167</v>
      </c>
    </row>
    <row r="2" spans="1:11">
      <c r="A2" t="s">
        <v>168</v>
      </c>
      <c r="B2">
        <f ca="1">RANDBETWEEN(50000,99999)*100</f>
        <v>8507300</v>
      </c>
      <c r="D2" t="s">
        <v>168</v>
      </c>
      <c r="E2" t="e">
        <f ca="1">IF(B2&lt;LARGE($B$2:$B$13,3),NA(),B2)</f>
        <v>#N/A</v>
      </c>
      <c r="F2">
        <f ca="1">IF(B2&lt;LARGE($B$2:$B$13,3),B2,NA())</f>
        <v>8507300</v>
      </c>
      <c r="G2">
        <f ca="1">MIN(B2:B13)</f>
        <v>5300200</v>
      </c>
      <c r="I2">
        <f ca="1">SMALL(B2:B13,1)</f>
        <v>5300200</v>
      </c>
      <c r="K2">
        <f ca="1">LARGE(B2:B13,1)</f>
        <v>9999999</v>
      </c>
    </row>
    <row r="3" spans="1:11">
      <c r="A3" t="s">
        <v>169</v>
      </c>
      <c r="B3">
        <f ca="1" t="shared" ref="B3:B13" si="0">RANDBETWEEN(50000,99999)*100</f>
        <v>9595000</v>
      </c>
      <c r="D3" t="s">
        <v>169</v>
      </c>
      <c r="E3">
        <f ca="1" t="shared" ref="E3:E13" si="1">IF(B3&lt;LARGE($B$2:$B$13,3),NA(),B3)</f>
        <v>9595000</v>
      </c>
      <c r="F3" t="e">
        <f ca="1">IF(B3&lt;LARGE($B$2:$B$13,3),B3,NA())</f>
        <v>#N/A</v>
      </c>
      <c r="I3">
        <f ca="1">SMALL(B2:B13,2)</f>
        <v>5951600</v>
      </c>
      <c r="K3">
        <f ca="1">LARGE(B2:B13,2)</f>
        <v>9814400</v>
      </c>
    </row>
    <row r="4" spans="1:11">
      <c r="A4" t="s">
        <v>170</v>
      </c>
      <c r="B4">
        <f ca="1" t="shared" si="0"/>
        <v>7317900</v>
      </c>
      <c r="D4" t="s">
        <v>170</v>
      </c>
      <c r="E4" t="e">
        <f ca="1" t="shared" si="1"/>
        <v>#N/A</v>
      </c>
      <c r="F4">
        <f ca="1" t="shared" ref="F3:F13" si="2">IF(B4&lt;LARGE($B$2:$B$13,3),B4,NA())</f>
        <v>7317900</v>
      </c>
      <c r="I4">
        <f ca="1">SMALL(B2:B13,3)</f>
        <v>6309200</v>
      </c>
      <c r="K4">
        <f ca="1">LARGE(B2:B13,3)</f>
        <v>9595000</v>
      </c>
    </row>
    <row r="5" spans="1:7">
      <c r="A5" t="s">
        <v>171</v>
      </c>
      <c r="B5">
        <f ca="1" t="shared" si="0"/>
        <v>7833800</v>
      </c>
      <c r="D5" t="s">
        <v>171</v>
      </c>
      <c r="E5" t="e">
        <f ca="1" t="shared" si="1"/>
        <v>#N/A</v>
      </c>
      <c r="F5">
        <f ca="1" t="shared" si="2"/>
        <v>7833800</v>
      </c>
      <c r="G5">
        <f ca="1">MAX(B2:B13)</f>
        <v>9999999</v>
      </c>
    </row>
    <row r="6" spans="1:6">
      <c r="A6" t="s">
        <v>172</v>
      </c>
      <c r="B6">
        <f ca="1" t="shared" si="0"/>
        <v>6309200</v>
      </c>
      <c r="D6" t="s">
        <v>172</v>
      </c>
      <c r="E6" t="e">
        <f ca="1" t="shared" si="1"/>
        <v>#N/A</v>
      </c>
      <c r="F6">
        <f ca="1" t="shared" si="2"/>
        <v>6309200</v>
      </c>
    </row>
    <row r="7" spans="1:7">
      <c r="A7" t="s">
        <v>173</v>
      </c>
      <c r="B7">
        <v>9999999</v>
      </c>
      <c r="D7" t="s">
        <v>173</v>
      </c>
      <c r="E7">
        <f ca="1" t="shared" si="1"/>
        <v>9999999</v>
      </c>
      <c r="F7" t="e">
        <f ca="1" t="shared" si="2"/>
        <v>#N/A</v>
      </c>
      <c r="G7" t="e">
        <f>NA()</f>
        <v>#N/A</v>
      </c>
    </row>
    <row r="8" spans="1:6">
      <c r="A8" t="s">
        <v>174</v>
      </c>
      <c r="B8">
        <f ca="1" t="shared" si="0"/>
        <v>9246000</v>
      </c>
      <c r="D8" t="s">
        <v>174</v>
      </c>
      <c r="E8" t="e">
        <f ca="1" t="shared" si="1"/>
        <v>#N/A</v>
      </c>
      <c r="F8">
        <f ca="1">IF(B8&lt;LARGE($B$2:$B$13,3),B8,NA())</f>
        <v>9246000</v>
      </c>
    </row>
    <row r="9" spans="1:6">
      <c r="A9" t="s">
        <v>175</v>
      </c>
      <c r="B9">
        <f ca="1" t="shared" si="0"/>
        <v>9152500</v>
      </c>
      <c r="D9" t="s">
        <v>175</v>
      </c>
      <c r="E9" t="e">
        <f ca="1">IF(B9&lt;LARGE($B$2:$B$13,3),NA(),B9)</f>
        <v>#N/A</v>
      </c>
      <c r="F9">
        <f ca="1" t="shared" si="2"/>
        <v>9152500</v>
      </c>
    </row>
    <row r="10" spans="1:6">
      <c r="A10" t="s">
        <v>176</v>
      </c>
      <c r="B10">
        <f ca="1" t="shared" si="0"/>
        <v>9814400</v>
      </c>
      <c r="D10" t="s">
        <v>176</v>
      </c>
      <c r="E10">
        <f ca="1" t="shared" si="1"/>
        <v>9814400</v>
      </c>
      <c r="F10" t="e">
        <f ca="1" t="shared" si="2"/>
        <v>#N/A</v>
      </c>
    </row>
    <row r="11" spans="1:6">
      <c r="A11" t="s">
        <v>177</v>
      </c>
      <c r="B11">
        <f ca="1" t="shared" si="0"/>
        <v>7783600</v>
      </c>
      <c r="D11" t="s">
        <v>177</v>
      </c>
      <c r="E11" t="e">
        <f ca="1" t="shared" si="1"/>
        <v>#N/A</v>
      </c>
      <c r="F11">
        <f ca="1" t="shared" si="2"/>
        <v>7783600</v>
      </c>
    </row>
    <row r="12" spans="1:6">
      <c r="A12" t="s">
        <v>178</v>
      </c>
      <c r="B12">
        <f ca="1" t="shared" si="0"/>
        <v>5300200</v>
      </c>
      <c r="D12" t="s">
        <v>178</v>
      </c>
      <c r="E12" t="e">
        <f ca="1" t="shared" si="1"/>
        <v>#N/A</v>
      </c>
      <c r="F12">
        <f ca="1" t="shared" si="2"/>
        <v>5300200</v>
      </c>
    </row>
    <row r="13" spans="1:6">
      <c r="A13" t="s">
        <v>179</v>
      </c>
      <c r="B13">
        <f ca="1" t="shared" si="0"/>
        <v>5951600</v>
      </c>
      <c r="D13" t="s">
        <v>179</v>
      </c>
      <c r="E13" t="e">
        <f ca="1" t="shared" si="1"/>
        <v>#N/A</v>
      </c>
      <c r="F13">
        <f ca="1" t="shared" si="2"/>
        <v>5951600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D17" sqref="D17"/>
    </sheetView>
  </sheetViews>
  <sheetFormatPr defaultColWidth="8.72727272727273" defaultRowHeight="14.5" outlineLevelCol="2"/>
  <sheetData>
    <row r="1" spans="1:3">
      <c r="A1" s="1" t="s">
        <v>164</v>
      </c>
      <c r="B1" s="1" t="s">
        <v>52</v>
      </c>
      <c r="C1" s="1" t="s">
        <v>180</v>
      </c>
    </row>
    <row r="2" spans="1:3">
      <c r="A2" t="s">
        <v>168</v>
      </c>
      <c r="B2">
        <f ca="1">RANDBETWEEN(20000,100000)*10</f>
        <v>300610</v>
      </c>
      <c r="C2">
        <f ca="1">RANDBETWEEN(20000,100000)*10</f>
        <v>415990</v>
      </c>
    </row>
    <row r="3" spans="1:3">
      <c r="A3" t="s">
        <v>169</v>
      </c>
      <c r="B3">
        <f ca="1" t="shared" ref="B3:B13" si="0">RANDBETWEEN(20000,100000)*10</f>
        <v>346670</v>
      </c>
      <c r="C3">
        <f ca="1">RANDBETWEEN(20000,100000)*10</f>
        <v>984940</v>
      </c>
    </row>
    <row r="4" spans="1:3">
      <c r="A4" t="s">
        <v>170</v>
      </c>
      <c r="B4">
        <f ca="1" t="shared" si="0"/>
        <v>352130</v>
      </c>
      <c r="C4">
        <f ca="1" t="shared" ref="C3:C13" si="1">RANDBETWEEN(20000,100000)*10</f>
        <v>335370</v>
      </c>
    </row>
    <row r="5" spans="1:3">
      <c r="A5" t="s">
        <v>171</v>
      </c>
      <c r="B5">
        <f ca="1" t="shared" si="0"/>
        <v>898290</v>
      </c>
      <c r="C5">
        <f ca="1" t="shared" si="1"/>
        <v>805930</v>
      </c>
    </row>
    <row r="6" spans="1:3">
      <c r="A6" t="s">
        <v>172</v>
      </c>
      <c r="B6">
        <f ca="1" t="shared" si="0"/>
        <v>485940</v>
      </c>
      <c r="C6">
        <f ca="1" t="shared" si="1"/>
        <v>655290</v>
      </c>
    </row>
    <row r="7" spans="1:3">
      <c r="A7" t="s">
        <v>173</v>
      </c>
      <c r="B7">
        <f ca="1" t="shared" si="0"/>
        <v>733480</v>
      </c>
      <c r="C7">
        <f ca="1" t="shared" si="1"/>
        <v>420340</v>
      </c>
    </row>
    <row r="8" spans="1:3">
      <c r="A8" t="s">
        <v>174</v>
      </c>
      <c r="B8">
        <f ca="1" t="shared" si="0"/>
        <v>905520</v>
      </c>
      <c r="C8">
        <f ca="1" t="shared" si="1"/>
        <v>953230</v>
      </c>
    </row>
    <row r="9" spans="1:3">
      <c r="A9" t="s">
        <v>175</v>
      </c>
      <c r="B9">
        <f ca="1" t="shared" si="0"/>
        <v>873360</v>
      </c>
      <c r="C9">
        <f ca="1" t="shared" si="1"/>
        <v>240220</v>
      </c>
    </row>
    <row r="10" spans="1:3">
      <c r="A10" t="s">
        <v>176</v>
      </c>
      <c r="B10">
        <f ca="1" t="shared" si="0"/>
        <v>533700</v>
      </c>
      <c r="C10">
        <f ca="1" t="shared" si="1"/>
        <v>547970</v>
      </c>
    </row>
    <row r="11" spans="1:3">
      <c r="A11" t="s">
        <v>177</v>
      </c>
      <c r="B11">
        <f ca="1" t="shared" si="0"/>
        <v>696160</v>
      </c>
      <c r="C11">
        <f ca="1" t="shared" si="1"/>
        <v>437940</v>
      </c>
    </row>
    <row r="12" spans="1:3">
      <c r="A12" t="s">
        <v>178</v>
      </c>
      <c r="B12">
        <f ca="1" t="shared" si="0"/>
        <v>218600</v>
      </c>
      <c r="C12">
        <f ca="1" t="shared" si="1"/>
        <v>464880</v>
      </c>
    </row>
    <row r="13" spans="1:3">
      <c r="A13" t="s">
        <v>179</v>
      </c>
      <c r="B13">
        <f ca="1" t="shared" si="0"/>
        <v>842450</v>
      </c>
      <c r="C13">
        <f ca="1" t="shared" si="1"/>
        <v>603040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=VLOOKUP()</vt:lpstr>
      <vt:lpstr>INDEX</vt:lpstr>
      <vt:lpstr>MATCH</vt:lpstr>
      <vt:lpstr>DATA SET</vt:lpstr>
      <vt:lpstr>Home Work</vt:lpstr>
      <vt:lpstr>small and large functions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kadum</dc:creator>
  <cp:lastModifiedBy>Ramana Kadumula</cp:lastModifiedBy>
  <dcterms:created xsi:type="dcterms:W3CDTF">2026-02-24T06:05:00Z</dcterms:created>
  <dcterms:modified xsi:type="dcterms:W3CDTF">2026-02-25T14:22:27Z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28691E2D109E4971AB5817F32EB40D2D_11</vt:lpwstr>
  </property>
  <property fmtid="{D5CDD505-2E9C-101B-9397-08002B2CF9AE}" pid="3" name="KSOProductBuildVer">
    <vt:lpwstr>1033-12.2.0.23196</vt:lpwstr>
  </property>
</Properties>
</file>